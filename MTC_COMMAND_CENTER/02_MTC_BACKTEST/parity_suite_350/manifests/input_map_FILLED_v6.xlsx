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LAB\tradingview-lab\mtc_backtest\parity_suite_340\tv_manual_inputs\TW Ekran görüntüsü\"/>
    </mc:Choice>
  </mc:AlternateContent>
  <xr:revisionPtr revIDLastSave="0" documentId="13_ncr:1_{F748D344-2960-4691-9E4E-28109B607003}" xr6:coauthVersionLast="47" xr6:coauthVersionMax="47" xr10:uidLastSave="{00000000-0000-0000-0000-000000000000}"/>
  <bookViews>
    <workbookView xWindow="28680" yWindow="-60" windowWidth="29040" windowHeight="15720" activeTab="4" xr2:uid="{00000000-000D-0000-FFFF-FFFF00000000}"/>
  </bookViews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  <definedNames>
    <definedName name="_xlnm._FilterDatabase" localSheetId="4" hidden="1">Properties!$B$1:$B$263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5" i="5" l="1"/>
  <c r="J254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263" i="5" l="1"/>
</calcChain>
</file>

<file path=xl/sharedStrings.xml><?xml version="1.0" encoding="utf-8"?>
<sst xmlns="http://schemas.openxmlformats.org/spreadsheetml/2006/main" count="2201" uniqueCount="474">
  <si>
    <t>All USDT</t>
  </si>
  <si>
    <t>All %</t>
  </si>
  <si>
    <t>Long USDT</t>
  </si>
  <si>
    <t>Long %</t>
  </si>
  <si>
    <t>Short USDT</t>
  </si>
  <si>
    <t>Short %</t>
  </si>
  <si>
    <t>Initial capital</t>
  </si>
  <si>
    <t>Open P&amp;L</t>
  </si>
  <si>
    <t>Net profit</t>
  </si>
  <si>
    <t>Gross profit</t>
  </si>
  <si>
    <t>Gross loss</t>
  </si>
  <si>
    <t>Expected payoff</t>
  </si>
  <si>
    <t>Commission paid</t>
  </si>
  <si>
    <t>Buy &amp; hold return</t>
  </si>
  <si>
    <t>Buy &amp; hold % gain</t>
  </si>
  <si>
    <t>Strategy outperformance</t>
  </si>
  <si>
    <t>Max contracts held</t>
  </si>
  <si>
    <t>Annualized return (CAGR)</t>
  </si>
  <si>
    <t>Return on initial capital</t>
  </si>
  <si>
    <t>Account size required</t>
  </si>
  <si>
    <t>Return on account size required</t>
  </si>
  <si>
    <t>Avg margin used</t>
  </si>
  <si>
    <t>Max margin used</t>
  </si>
  <si>
    <t>Margin efficiency</t>
  </si>
  <si>
    <t>Avg equity run-up duration (close-to-close)</t>
  </si>
  <si>
    <t>67 days</t>
  </si>
  <si>
    <t>Avg equity run-up (close-to-close)</t>
  </si>
  <si>
    <t>Max equity run-up (close-to-close)</t>
  </si>
  <si>
    <t>Max equity run-up (intrabar)</t>
  </si>
  <si>
    <t>Max equity run-up as % of initial capital (intrabar)</t>
  </si>
  <si>
    <t>Avg equity drawdown duration (close-to-close)</t>
  </si>
  <si>
    <t>39 days</t>
  </si>
  <si>
    <t>Avg equity drawdown (close-to-close)</t>
  </si>
  <si>
    <t>Return of max equity drawdown</t>
  </si>
  <si>
    <t>Max equity drawdown (close-to-close)</t>
  </si>
  <si>
    <t>Max equity drawdown (intrabar)</t>
  </si>
  <si>
    <t>Max equity drawdown as % of initial capital (intrabar)</t>
  </si>
  <si>
    <t>Net profit as % of largest loss</t>
  </si>
  <si>
    <t>Largest winner as % of gross profit</t>
  </si>
  <si>
    <t>Largest loser as % of gross loss</t>
  </si>
  <si>
    <t>Total open trades</t>
  </si>
  <si>
    <t>Total trades</t>
  </si>
  <si>
    <t>Winning trades</t>
  </si>
  <si>
    <t>Losing trades</t>
  </si>
  <si>
    <t>Even trades</t>
  </si>
  <si>
    <t>Percent profitable</t>
  </si>
  <si>
    <t>Avg P&amp;L</t>
  </si>
  <si>
    <t>Avg winning trade</t>
  </si>
  <si>
    <t>Avg losing trade</t>
  </si>
  <si>
    <t>Ratio avg win / avg loss</t>
  </si>
  <si>
    <t>Largest winning trade</t>
  </si>
  <si>
    <t>Largest winning trade percent</t>
  </si>
  <si>
    <t>Largest losing trade</t>
  </si>
  <si>
    <t>Largest losing trade percent</t>
  </si>
  <si>
    <t>Avg # bars in trades</t>
  </si>
  <si>
    <t>Avg # bars in winning trades</t>
  </si>
  <si>
    <t>Avg # bars in losing trades</t>
  </si>
  <si>
    <t>Sharpe ratio</t>
  </si>
  <si>
    <t>Sortino ratio</t>
  </si>
  <si>
    <t>Profit factor</t>
  </si>
  <si>
    <t>Margin calls</t>
  </si>
  <si>
    <t>Trade #</t>
  </si>
  <si>
    <t>Type</t>
  </si>
  <si>
    <t>Date and time</t>
  </si>
  <si>
    <t>Signal</t>
  </si>
  <si>
    <t>Price USDT</t>
  </si>
  <si>
    <t>Position size (qty)</t>
  </si>
  <si>
    <t>Position size (value)</t>
  </si>
  <si>
    <t>Net P&amp;L USDT</t>
  </si>
  <si>
    <t>Net P&amp;L %</t>
  </si>
  <si>
    <t>Favorable excursion USDT</t>
  </si>
  <si>
    <t>Favorable excursion %</t>
  </si>
  <si>
    <t>Adverse excursion USDT</t>
  </si>
  <si>
    <t>Adverse excursion %</t>
  </si>
  <si>
    <t>Cumulative P&amp;L USDT</t>
  </si>
  <si>
    <t>Cumulative P&amp;L %</t>
  </si>
  <si>
    <t>Exit long</t>
  </si>
  <si>
    <t>SL</t>
  </si>
  <si>
    <t>Entry long</t>
  </si>
  <si>
    <t>Long</t>
  </si>
  <si>
    <t>Exit short</t>
  </si>
  <si>
    <t>BE</t>
  </si>
  <si>
    <t>Entry short</t>
  </si>
  <si>
    <t>Short</t>
  </si>
  <si>
    <t>TP1</t>
  </si>
  <si>
    <t>TRAIL</t>
  </si>
  <si>
    <t>TP2</t>
  </si>
  <si>
    <t>Open</t>
  </si>
  <si>
    <t>name</t>
  </si>
  <si>
    <t>value</t>
  </si>
  <si>
    <t>Parent 1</t>
  </si>
  <si>
    <t>Parent 1 Value</t>
  </si>
  <si>
    <t>Parent 2</t>
  </si>
  <si>
    <t>Parent 2 Value</t>
  </si>
  <si>
    <t>Parent 3</t>
  </si>
  <si>
    <t>Parent 3 Value</t>
  </si>
  <si>
    <t>Count</t>
  </si>
  <si>
    <t xml:space="preserve">test Valu 1 defaılt </t>
  </si>
  <si>
    <t>test Valu 2</t>
  </si>
  <si>
    <t>test Valu 3</t>
  </si>
  <si>
    <t>test Valu 4</t>
  </si>
  <si>
    <t>Trading range</t>
  </si>
  <si>
    <t>Jun 30, 2025, 06:15 — Feb 01, 2026, 00:00</t>
  </si>
  <si>
    <t>Backtesting range</t>
  </si>
  <si>
    <t>Jun 30, 2025, 01:00 — Feb 01, 2026, 00:00</t>
  </si>
  <si>
    <t>Symbol</t>
  </si>
  <si>
    <t>BINANCE:BTCUSDT.P</t>
  </si>
  <si>
    <t>Timeframe</t>
  </si>
  <si>
    <t>15 minutes</t>
  </si>
  <si>
    <t>Point value</t>
  </si>
  <si>
    <t>1</t>
  </si>
  <si>
    <t>Chart type</t>
  </si>
  <si>
    <t>Candles</t>
  </si>
  <si>
    <t>p</t>
  </si>
  <si>
    <t>Currency</t>
  </si>
  <si>
    <t>USDT</t>
  </si>
  <si>
    <t>Tick size</t>
  </si>
  <si>
    <t>0.1</t>
  </si>
  <si>
    <t>Precision</t>
  </si>
  <si>
    <t>Default</t>
  </si>
  <si>
    <t>Enable Long Trades</t>
  </si>
  <si>
    <t>On</t>
  </si>
  <si>
    <t>Off</t>
  </si>
  <si>
    <t>Enable Short Trades</t>
  </si>
  <si>
    <t>Allow Position Flips (LongShort same bar)</t>
  </si>
  <si>
    <t>Exit on Opposite Signal</t>
  </si>
  <si>
    <t>Exit if Selected Filters Block While In Position</t>
  </si>
  <si>
    <t>Regime Lock (Prevent Re-entry Same Direction)</t>
  </si>
  <si>
    <t>Entry Mode</t>
  </si>
  <si>
    <t>Edge</t>
  </si>
  <si>
    <t xml:space="preserve">   Exit on MA Filter Block</t>
  </si>
  <si>
    <t xml:space="preserve">   Exit on MA Slope Filter Block</t>
  </si>
  <si>
    <t xml:space="preserve">   Exit on McGinley Filter Block</t>
  </si>
  <si>
    <t xml:space="preserve">   Exit on HTF Trend Filter Block</t>
  </si>
  <si>
    <t xml:space="preserve">   Exit on Volume Filter Block</t>
  </si>
  <si>
    <t xml:space="preserve">   Exit on ATR Vol Filter Block</t>
  </si>
  <si>
    <t xml:space="preserve">   Exit on Range Filter Block</t>
  </si>
  <si>
    <t>Use Time Stop (Position Duration Exit)</t>
  </si>
  <si>
    <t>Time Stop Bars</t>
  </si>
  <si>
    <t>50</t>
  </si>
  <si>
    <t>Exit at End of Day</t>
  </si>
  <si>
    <t>Exit at End of Week</t>
  </si>
  <si>
    <t>Time Stop Condition</t>
  </si>
  <si>
    <t>Always</t>
  </si>
  <si>
    <t>Profit Only</t>
  </si>
  <si>
    <t>Loss Only</t>
  </si>
  <si>
    <t>Signal Mode Max Entries</t>
  </si>
  <si>
    <t>Signal Mode Cooldown Bars</t>
  </si>
  <si>
    <t>10</t>
  </si>
  <si>
    <t>&gt;1</t>
  </si>
  <si>
    <t>Max Pyramid Positions</t>
  </si>
  <si>
    <t>Signal Mode</t>
  </si>
  <si>
    <t>Supertrend</t>
  </si>
  <si>
    <t>Range Filter Hybrid (ADX+Chop+BB)</t>
  </si>
  <si>
    <t>None</t>
  </si>
  <si>
    <t>Global Heikin Ashi</t>
  </si>
  <si>
    <t>Auto</t>
  </si>
  <si>
    <t>Use HA for Supertrend</t>
  </si>
  <si>
    <t>[ST] Use Wicks</t>
  </si>
  <si>
    <t>[ST] ATR Len</t>
  </si>
  <si>
    <t>21</t>
  </si>
  <si>
    <t>[ST] Factor</t>
  </si>
  <si>
    <t>4</t>
  </si>
  <si>
    <t>[RF] RSI Length</t>
  </si>
  <si>
    <t>14</t>
  </si>
  <si>
    <t>[RF] Use BB Filter (range mode)</t>
  </si>
  <si>
    <t>[RF] Show Bollinger Bands</t>
  </si>
  <si>
    <t>[RF] Use Strategy TF Source</t>
  </si>
  <si>
    <t>[RF] ADX Trend Threshold</t>
  </si>
  <si>
    <t>25</t>
  </si>
  <si>
    <t>[RF] ADX Range Threshold</t>
  </si>
  <si>
    <t>20</t>
  </si>
  <si>
    <t>[RF] Chop Trend Threshold</t>
  </si>
  <si>
    <t>[RF] Chop Range Threshold</t>
  </si>
  <si>
    <t>62</t>
  </si>
  <si>
    <t>[RF] RSI Oversold</t>
  </si>
  <si>
    <t>30</t>
  </si>
  <si>
    <t>[RF] RSI Overbought</t>
  </si>
  <si>
    <t>70</t>
  </si>
  <si>
    <t>[RF] BB Length</t>
  </si>
  <si>
    <t>[RF] BB Multiplier</t>
  </si>
  <si>
    <t>2</t>
  </si>
  <si>
    <t>Risk per Long (% of equity)</t>
  </si>
  <si>
    <t>Risk per Short (% of equity)</t>
  </si>
  <si>
    <t>3</t>
  </si>
  <si>
    <t xml:space="preserve"> Fallback Position Size When SL OFF (% of equity)</t>
  </si>
  <si>
    <t>5</t>
  </si>
  <si>
    <t>Use Daily Loss Limit?</t>
  </si>
  <si>
    <t>Max Daily Loss (% of equity)</t>
  </si>
  <si>
    <t>Use Max Trades per Day?</t>
  </si>
  <si>
    <t>Max Trades per Day</t>
  </si>
  <si>
    <t>Max Leverage Cap (Limit)</t>
  </si>
  <si>
    <t>Risk Equity Source</t>
  </si>
  <si>
    <t>Initial</t>
  </si>
  <si>
    <t>Realized</t>
  </si>
  <si>
    <t>Use Notional Hard Assert</t>
  </si>
  <si>
    <t>SL Mode</t>
  </si>
  <si>
    <t>ATR</t>
  </si>
  <si>
    <t>%</t>
  </si>
  <si>
    <t>Swing+ATR</t>
  </si>
  <si>
    <t>SWING_ATR</t>
  </si>
  <si>
    <t>Swing SL Basis</t>
  </si>
  <si>
    <t>Wick</t>
  </si>
  <si>
    <t>Body</t>
  </si>
  <si>
    <t>Swing SL Lookback</t>
  </si>
  <si>
    <t>SL % (distance)</t>
  </si>
  <si>
    <t>TP Mode (single TP)</t>
  </si>
  <si>
    <t>R</t>
  </si>
  <si>
    <t>TP % (distance)</t>
  </si>
  <si>
    <t>TP R multiple (single TP)</t>
  </si>
  <si>
    <t>Use Stop Loss</t>
  </si>
  <si>
    <t>Use Take Profit</t>
  </si>
  <si>
    <t>Use Break-Even?</t>
  </si>
  <si>
    <t>Use Multi TP (2 TPs, requires Take Profit = ON)</t>
  </si>
  <si>
    <t>TP2 at R multiple</t>
  </si>
  <si>
    <t>5.5</t>
  </si>
  <si>
    <t>Swing SL ATR Length</t>
  </si>
  <si>
    <t>Swing SL ATR Multiplier</t>
  </si>
  <si>
    <t>0.5</t>
  </si>
  <si>
    <t>SL ATR Length</t>
  </si>
  <si>
    <t>SL ATR Multiplier</t>
  </si>
  <si>
    <t>TP ATR Length</t>
  </si>
  <si>
    <t>TP ATR Multiplier</t>
  </si>
  <si>
    <t>BE trigger (R multiple)</t>
  </si>
  <si>
    <t>BE buffer (R multiple)</t>
  </si>
  <si>
    <t>TP1 at R multiple</t>
  </si>
  <si>
    <t>TP1 Close % of position</t>
  </si>
  <si>
    <t>Use Trailing Stop</t>
  </si>
  <si>
    <t>Trailing ATR Length</t>
  </si>
  <si>
    <t>Start After (R multiple)</t>
  </si>
  <si>
    <t>2.5</t>
  </si>
  <si>
    <t>Trail Distance (R multiple)</t>
  </si>
  <si>
    <t>Use MA Filter</t>
  </si>
  <si>
    <t>Use MA Slope Filter</t>
  </si>
  <si>
    <t>Use McGinley Filter</t>
  </si>
  <si>
    <t>Use HTF Trend Filter</t>
  </si>
  <si>
    <t>[HTF] MA Length</t>
  </si>
  <si>
    <t>100</t>
  </si>
  <si>
    <t>[HTF] Buffer %</t>
  </si>
  <si>
    <t>Use Volume Participation Filter</t>
  </si>
  <si>
    <t>[MA] Type</t>
  </si>
  <si>
    <t>EMA</t>
  </si>
  <si>
    <t>SMA</t>
  </si>
  <si>
    <t>DEMA</t>
  </si>
  <si>
    <t>TEMA</t>
  </si>
  <si>
    <t>[MA] Length</t>
  </si>
  <si>
    <t>200</t>
  </si>
  <si>
    <t>[MA] Slope Len</t>
  </si>
  <si>
    <t>[MA] Slope Min %/bar</t>
  </si>
  <si>
    <t>0.005</t>
  </si>
  <si>
    <t>[MA] Use Higher Timeframe</t>
  </si>
  <si>
    <t>[MA] HTF Timeframe</t>
  </si>
  <si>
    <t>60</t>
  </si>
  <si>
    <t>240</t>
  </si>
  <si>
    <t>15</t>
  </si>
  <si>
    <t>[McGinley] Length</t>
  </si>
  <si>
    <t>[McGinley] Use Higher Timeframe</t>
  </si>
  <si>
    <t>[McGinley] HTF Timeframe</t>
  </si>
  <si>
    <t>[HTF] Trend Timeframe</t>
  </si>
  <si>
    <t>1D</t>
  </si>
  <si>
    <t>[HTF] MA Type</t>
  </si>
  <si>
    <t>RMA</t>
  </si>
  <si>
    <t>WMA</t>
  </si>
  <si>
    <t>[VOL] SMA Length</t>
  </si>
  <si>
    <t>[VOL] Min SMA</t>
  </si>
  <si>
    <t>Use Range Filters (Entry Pause)</t>
  </si>
  <si>
    <t>Range Aggregation</t>
  </si>
  <si>
    <t>AND</t>
  </si>
  <si>
    <t>COUNT</t>
  </si>
  <si>
    <t>Range Hold Bars</t>
  </si>
  <si>
    <t>8</t>
  </si>
  <si>
    <t>Range Debug Plots</t>
  </si>
  <si>
    <t>P</t>
  </si>
  <si>
    <t>Use ADX Range Filter</t>
  </si>
  <si>
    <t>ADX Length</t>
  </si>
  <si>
    <t>ADX On Threshold</t>
  </si>
  <si>
    <t>ADX Off Threshold</t>
  </si>
  <si>
    <t>Use Choppiness Filter</t>
  </si>
  <si>
    <t>Chop Length</t>
  </si>
  <si>
    <t>Chop On Threshold</t>
  </si>
  <si>
    <t>Chop Off Threshold</t>
  </si>
  <si>
    <t>COUNT Mode Min Pass</t>
  </si>
  <si>
    <t>Use ATR Volatility Floor</t>
  </si>
  <si>
    <t>[ATR] Min ATR / Baseline</t>
  </si>
  <si>
    <t>1.2</t>
  </si>
  <si>
    <t>[ADX] Use Higher Timeframe</t>
  </si>
  <si>
    <t>[ADX] HTF Timeframe</t>
  </si>
  <si>
    <t>[CHOP] Use Higher Timeframe</t>
  </si>
  <si>
    <t>[CHOP] HTF Timeframe</t>
  </si>
  <si>
    <t>[ATR] Vol Floor ATR Len</t>
  </si>
  <si>
    <t>[ATR] Baseline SMA Len</t>
  </si>
  <si>
    <t>Use Max Drawdown Guard</t>
  </si>
  <si>
    <t>Max Drawdown %</t>
  </si>
  <si>
    <t>Use Consecutive Loss Halt</t>
  </si>
  <si>
    <t>Max Consecutive Losses</t>
  </si>
  <si>
    <t>Use Trade Cooldown</t>
  </si>
  <si>
    <t>Cooldown Bars After Exit</t>
  </si>
  <si>
    <t>Use Equity Curve Filter</t>
  </si>
  <si>
    <t>Equity MA Length</t>
  </si>
  <si>
    <t>Use MAE Guard (in-trade)</t>
  </si>
  <si>
    <t>Max MAE %</t>
  </si>
  <si>
    <t>Consec Loss: Reset Daily (Legacy)</t>
  </si>
  <si>
    <t>Use Guard Recovery (auto-resume after block)</t>
  </si>
  <si>
    <t>Recovery Mode</t>
  </si>
  <si>
    <t>Bars</t>
  </si>
  <si>
    <t>Signals</t>
  </si>
  <si>
    <t>Manual</t>
  </si>
  <si>
    <t>Virtual Trade</t>
  </si>
  <si>
    <t>Recovery After (bars)</t>
  </si>
  <si>
    <t>Recovery After (signals)</t>
  </si>
  <si>
    <t>Recovery: Early-exit when Equity Curve turns OK</t>
  </si>
  <si>
    <t>Recovery: Quality-Based Virtual Trade (Consec Loss)</t>
  </si>
  <si>
    <t xml:space="preserve">  Virtual Wins Required</t>
  </si>
  <si>
    <t xml:space="preserve">  Use SL in Virtual</t>
  </si>
  <si>
    <t xml:space="preserve">  Use TP in Virtual</t>
  </si>
  <si>
    <t xml:space="preserve">  Use BE in Virtual</t>
  </si>
  <si>
    <t xml:space="preserve">  Use Trailing in Virtual</t>
  </si>
  <si>
    <t xml:space="preserve">  Close on Opposite Signal</t>
  </si>
  <si>
    <t>Plot SL</t>
  </si>
  <si>
    <t>Plot SL Base (Locked)</t>
  </si>
  <si>
    <t>Plot TP / TP1/2</t>
  </si>
  <si>
    <t>Plot Trailing</t>
  </si>
  <si>
    <t>Plot Supertrend</t>
  </si>
  <si>
    <t xml:space="preserve">   Show plots only when Supertrend mode active</t>
  </si>
  <si>
    <t>Plot MA Filter</t>
  </si>
  <si>
    <t>Plot McGinley Filter</t>
  </si>
  <si>
    <t>Performance Mode (fewer plots/tables)</t>
  </si>
  <si>
    <t>Show Signal Mode Tag</t>
  </si>
  <si>
    <t>Show Signal Events (BUY/SELL)</t>
  </si>
  <si>
    <t>Show Filter Block Tags</t>
  </si>
  <si>
    <t>Filter Tag Mode</t>
  </si>
  <si>
    <t>Failed only</t>
  </si>
  <si>
    <t>Filter Tag Separator</t>
  </si>
  <si>
    <t>Pipe</t>
  </si>
  <si>
    <t>Filter Tag Label Size</t>
  </si>
  <si>
    <t>Small</t>
  </si>
  <si>
    <t>Max Filter Tag Labels (FIFO)</t>
  </si>
  <si>
    <t>Filter Tag Cooldown Bars</t>
  </si>
  <si>
    <t>0</t>
  </si>
  <si>
    <t xml:space="preserve"> Orders are processed on bar close</t>
  </si>
  <si>
    <t>Debug bar colors</t>
  </si>
  <si>
    <t>Show Exit Statistics Table</t>
  </si>
  <si>
    <t>Exit Stats Mode</t>
  </si>
  <si>
    <t>Events</t>
  </si>
  <si>
    <t>Exit Stats Table Text Size</t>
  </si>
  <si>
    <t>Normal</t>
  </si>
  <si>
    <t>Exit Stats Table Position</t>
  </si>
  <si>
    <t>Bottom Right</t>
  </si>
  <si>
    <t>Exit Stats: Show Flat column</t>
  </si>
  <si>
    <t>Exit Stats: Show Win % column</t>
  </si>
  <si>
    <t>Exit Stats Text Size</t>
  </si>
  <si>
    <t>Exit Stats Position</t>
  </si>
  <si>
    <t>Debug Exit Reason (logs + optional labels)</t>
  </si>
  <si>
    <t>Show Filter Block Stats Table</t>
  </si>
  <si>
    <t>Filter Block Table Text Size</t>
  </si>
  <si>
    <t>Filter Block Table Position</t>
  </si>
  <si>
    <t>Top Right</t>
  </si>
  <si>
    <t>Show Label Count Warning</t>
  </si>
  <si>
    <t>Show Security Inventory Table</t>
  </si>
  <si>
    <t>Show Why No Trade Dashboard</t>
  </si>
  <si>
    <t>Force Alert UI Workaround</t>
  </si>
  <si>
    <t>Enter Long Code</t>
  </si>
  <si>
    <t>ENTER-LONG_Binance_BTCUSDT_MTC1_1H_cf58af3e65c750b64ad0161d</t>
  </si>
  <si>
    <t>Exit Long Code</t>
  </si>
  <si>
    <t>EXIT-LONG_Binance_BTCUSDT_MTC1_1H_cf58af3e65c750b64ad0161d</t>
  </si>
  <si>
    <t>Enter Short Code</t>
  </si>
  <si>
    <t>ENTER-SHORT_Binance_BTCUSDT_MTC1_1H_cf58af3e65c750b64ad0161d</t>
  </si>
  <si>
    <t>Exit Short Code</t>
  </si>
  <si>
    <t>EXIT-SHORT_Binance_BTCUSDT_MTC1_1H_cf58af3e65c750b64ad0161d</t>
  </si>
  <si>
    <t>Exit All Code</t>
  </si>
  <si>
    <t>EXIT-ALL_Binance_BTCUSDT_MTC1_1H_cf58af3e65c750b64ad0161d</t>
  </si>
  <si>
    <t>Order Type</t>
  </si>
  <si>
    <t>market</t>
  </si>
  <si>
    <t>Amount Type</t>
  </si>
  <si>
    <t>quote</t>
  </si>
  <si>
    <t>Amount Per Trade</t>
  </si>
  <si>
    <t>Leverage</t>
  </si>
  <si>
    <t>Send Take Profit</t>
  </si>
  <si>
    <t>Send Stop Loss</t>
  </si>
  <si>
    <t>Reduce Only (for exits)</t>
  </si>
  <si>
    <t>Place Conditional Orders on Exchange</t>
  </si>
  <si>
    <t>Enable MACD filter hub</t>
  </si>
  <si>
    <t>Mode</t>
  </si>
  <si>
    <t>STANDARD</t>
  </si>
  <si>
    <t>PPO_NORM</t>
  </si>
  <si>
    <t>Source</t>
  </si>
  <si>
    <t>close</t>
  </si>
  <si>
    <t>hlc3</t>
  </si>
  <si>
    <t>Fast</t>
  </si>
  <si>
    <t>12</t>
  </si>
  <si>
    <t>Slow</t>
  </si>
  <si>
    <t>26</t>
  </si>
  <si>
    <t>9</t>
  </si>
  <si>
    <t>Regime: line &gt;0 long / &lt;0 short</t>
  </si>
  <si>
    <t>CrossState: line &gt; signal long / &lt; signal short</t>
  </si>
  <si>
    <t>Histogram gate</t>
  </si>
  <si>
    <t>Hist mode</t>
  </si>
  <si>
    <t>SIGN_ONLY</t>
  </si>
  <si>
    <t>SIGN+SLOPE</t>
  </si>
  <si>
    <t>Zero-line distance gate</t>
  </si>
  <si>
    <t>Min distance (0=no effect)</t>
  </si>
  <si>
    <t>HTF bias (regime)</t>
  </si>
  <si>
    <t>HTF timeframe</t>
  </si>
  <si>
    <t>Apply HTF regime sign</t>
  </si>
  <si>
    <t>Expose crossover triggers (diagnostic)</t>
  </si>
  <si>
    <t>Use Confirmation: Swing Break + Momentum</t>
  </si>
  <si>
    <t>Swing Left Bars</t>
  </si>
  <si>
    <t>7</t>
  </si>
  <si>
    <t>Swing Right Bars</t>
  </si>
  <si>
    <t>Require Close Beyond Swing (else wick)</t>
  </si>
  <si>
    <t>Max bars to wait (timeout)</t>
  </si>
  <si>
    <t>Min bars to wait after raw</t>
  </si>
  <si>
    <t>Apply confirmation only when flat</t>
  </si>
  <si>
    <t>Update swing level while waiting (dynamic)</t>
  </si>
  <si>
    <t>Dynamic update mode</t>
  </si>
  <si>
    <t>TIGHTEN_ONLY</t>
  </si>
  <si>
    <t>ANY</t>
  </si>
  <si>
    <t>If dynamic updates level this bar, defer break check 1 bar</t>
  </si>
  <si>
    <t>If new RAW event arrives, refresh level+timer</t>
  </si>
  <si>
    <t>RAW event mode</t>
  </si>
  <si>
    <t>EDGE</t>
  </si>
  <si>
    <t>LEVEL</t>
  </si>
  <si>
    <t>If LONG &amp; SHORT raw same bar</t>
  </si>
  <si>
    <t>LONG_WINS</t>
  </si>
  <si>
    <t>SHORT_WINS</t>
  </si>
  <si>
    <t>IGNORE</t>
  </si>
  <si>
    <t>Bar close only (barstate.isconfirmed)</t>
  </si>
  <si>
    <t>Require RAW still true at confirmation</t>
  </si>
  <si>
    <t>Break buffer (ticks)</t>
  </si>
  <si>
    <t>Max swing distance % (0 = off)</t>
  </si>
  <si>
    <t>Max pivot age bars (0 = off)</t>
  </si>
  <si>
    <t>Use Momentum Filter</t>
  </si>
  <si>
    <t>Momentum Mode</t>
  </si>
  <si>
    <t>ATR_BODY</t>
  </si>
  <si>
    <t>ROC_1</t>
  </si>
  <si>
    <t>ATR Len</t>
  </si>
  <si>
    <t>ATR Body Mult</t>
  </si>
  <si>
    <t>0.3</t>
  </si>
  <si>
    <t>ROC(1) Min % (0.15 = 0.15%)</t>
  </si>
  <si>
    <t>0.15</t>
  </si>
  <si>
    <t>Use Session Filter</t>
  </si>
  <si>
    <t>Session</t>
  </si>
  <si>
    <t>00:00 — 23:59</t>
  </si>
  <si>
    <t>0000-2359</t>
  </si>
  <si>
    <t>0800-1800</t>
  </si>
  <si>
    <t>Plot confirmation levels (only while waiting)</t>
  </si>
  <si>
    <t>Enable confirmation visuals (debug)</t>
  </si>
  <si>
    <t>RAWWAIT markers</t>
  </si>
  <si>
    <t>WAIT markers (per bar)</t>
  </si>
  <si>
    <t>WAIT background tint</t>
  </si>
  <si>
    <t>Level lines</t>
  </si>
  <si>
    <t>BREAK markers</t>
  </si>
  <si>
    <t>CONF markers</t>
  </si>
  <si>
    <t>waitBars in Data Window</t>
  </si>
  <si>
    <t>Optional waitBars label (low spam)</t>
  </si>
  <si>
    <t>Label update every N bars</t>
  </si>
  <si>
    <t>10000</t>
  </si>
  <si>
    <t>Order size</t>
  </si>
  <si>
    <t>1 contracts</t>
  </si>
  <si>
    <t>Pyramiding</t>
  </si>
  <si>
    <t>1 orders</t>
  </si>
  <si>
    <t>Commission</t>
  </si>
  <si>
    <t>0.04</t>
  </si>
  <si>
    <t>Slippage</t>
  </si>
  <si>
    <t>5 ticks</t>
  </si>
  <si>
    <t>Verify price for limit orders</t>
  </si>
  <si>
    <t>0 ticks</t>
  </si>
  <si>
    <t>Margin for long positions</t>
  </si>
  <si>
    <t>1%</t>
  </si>
  <si>
    <t>Margin for short positions</t>
  </si>
  <si>
    <t>Recalculate after order is filled</t>
  </si>
  <si>
    <t>Recalculate on every tick</t>
  </si>
  <si>
    <t>Recalculate on bar close</t>
  </si>
  <si>
    <t>Backtesting precision. Use bar magnifier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</si>
</sst>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selection activeCell="J21" sqref="J21"/>
    </sheetView>
  </sheetViews>
  <sheetFormatPr defaultRowHeight="15.75" x14ac:dyDescent="0.25"/>
  <cols>
    <col min="1" max="1" width="55.875" customWidth="1"/>
    <col min="2" max="2" width="9.875" customWidth="1"/>
    <col min="3" max="3" width="8.875" customWidth="1"/>
    <col min="4" max="4" width="10.875" customWidth="1"/>
    <col min="5" max="5" width="9.875" customWidth="1"/>
    <col min="6" max="6" width="11.875" customWidth="1"/>
    <col min="7" max="7" width="8.875" customWidth="1"/>
  </cols>
  <sheetData>
    <row r="1" spans="1:7" ht="15.75" customHeight="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5.75" customHeight="1" x14ac:dyDescent="0.25">
      <c r="A2" t="s">
        <v>6</v>
      </c>
      <c r="B2">
        <v>10000</v>
      </c>
      <c r="C2" s="1"/>
      <c r="E2" s="1"/>
      <c r="G2" s="1"/>
    </row>
    <row r="3" spans="1:7" ht="15.75" customHeight="1" x14ac:dyDescent="0.25">
      <c r="A3" t="s">
        <v>7</v>
      </c>
      <c r="B3">
        <v>-112.58</v>
      </c>
      <c r="C3" s="1">
        <v>-1.36</v>
      </c>
      <c r="E3" s="1"/>
      <c r="G3" s="1"/>
    </row>
    <row r="4" spans="1:7" ht="15.75" customHeight="1" x14ac:dyDescent="0.25">
      <c r="A4" t="s">
        <v>8</v>
      </c>
      <c r="B4">
        <v>-1723.64</v>
      </c>
      <c r="C4" s="1">
        <v>-17.239999999999998</v>
      </c>
      <c r="D4">
        <v>-3311.7</v>
      </c>
      <c r="E4" s="1">
        <v>-33.119999999999997</v>
      </c>
      <c r="F4">
        <v>1588.05</v>
      </c>
      <c r="G4" s="1">
        <v>15.88</v>
      </c>
    </row>
    <row r="5" spans="1:7" ht="15.75" customHeight="1" x14ac:dyDescent="0.25">
      <c r="A5" t="s">
        <v>9</v>
      </c>
      <c r="B5">
        <v>20950.32</v>
      </c>
      <c r="C5" s="1">
        <v>209.5</v>
      </c>
      <c r="D5">
        <v>9655.6</v>
      </c>
      <c r="E5" s="1">
        <v>96.56</v>
      </c>
      <c r="F5">
        <v>11294.71</v>
      </c>
      <c r="G5" s="1">
        <v>112.95</v>
      </c>
    </row>
    <row r="6" spans="1:7" ht="15.75" customHeight="1" x14ac:dyDescent="0.25">
      <c r="A6" t="s">
        <v>10</v>
      </c>
      <c r="B6">
        <v>22673.96</v>
      </c>
      <c r="C6" s="1">
        <v>226.74</v>
      </c>
      <c r="D6">
        <v>12967.3</v>
      </c>
      <c r="E6" s="1">
        <v>129.66999999999999</v>
      </c>
      <c r="F6">
        <v>9706.66</v>
      </c>
      <c r="G6" s="1">
        <v>97.07</v>
      </c>
    </row>
    <row r="7" spans="1:7" ht="15.75" customHeight="1" x14ac:dyDescent="0.25">
      <c r="A7" t="s">
        <v>11</v>
      </c>
      <c r="B7">
        <v>-7.18</v>
      </c>
      <c r="C7" s="1"/>
      <c r="D7">
        <v>-29.05</v>
      </c>
      <c r="E7" s="1"/>
      <c r="F7">
        <v>12.6</v>
      </c>
      <c r="G7" s="1"/>
    </row>
    <row r="8" spans="1:7" ht="15.75" customHeight="1" x14ac:dyDescent="0.25">
      <c r="A8" t="s">
        <v>12</v>
      </c>
      <c r="B8">
        <v>3226.83</v>
      </c>
      <c r="C8" s="1"/>
      <c r="D8">
        <v>1746.45</v>
      </c>
      <c r="E8" s="1"/>
      <c r="F8">
        <v>1480.38</v>
      </c>
      <c r="G8" s="1"/>
    </row>
    <row r="9" spans="1:7" ht="15.75" customHeight="1" x14ac:dyDescent="0.25">
      <c r="A9" t="s">
        <v>13</v>
      </c>
      <c r="B9">
        <v>-2673.94</v>
      </c>
      <c r="C9" s="1">
        <v>-26.74</v>
      </c>
      <c r="E9" s="1"/>
      <c r="G9" s="1"/>
    </row>
    <row r="10" spans="1:7" ht="15.75" customHeight="1" x14ac:dyDescent="0.25">
      <c r="A10" t="s">
        <v>14</v>
      </c>
      <c r="C10" s="1">
        <v>-26.74</v>
      </c>
      <c r="E10" s="1"/>
      <c r="G10" s="1"/>
    </row>
    <row r="11" spans="1:7" ht="15.75" customHeight="1" x14ac:dyDescent="0.25">
      <c r="A11" t="s">
        <v>15</v>
      </c>
      <c r="B11">
        <v>950.3</v>
      </c>
      <c r="C11" s="1"/>
      <c r="E11" s="1"/>
      <c r="G11" s="1"/>
    </row>
    <row r="12" spans="1:7" ht="15.75" customHeight="1" x14ac:dyDescent="0.25">
      <c r="A12" t="s">
        <v>16</v>
      </c>
      <c r="B12">
        <v>0</v>
      </c>
      <c r="C12" s="1"/>
      <c r="D12">
        <v>0</v>
      </c>
      <c r="E12" s="1"/>
      <c r="F12">
        <v>0</v>
      </c>
      <c r="G12" s="1"/>
    </row>
    <row r="13" spans="1:7" ht="15.75" customHeight="1" x14ac:dyDescent="0.25">
      <c r="A13" t="s">
        <v>17</v>
      </c>
      <c r="C13" s="1">
        <v>-27.36</v>
      </c>
      <c r="E13" s="1">
        <v>-49.32</v>
      </c>
      <c r="G13" s="1">
        <v>28.28</v>
      </c>
    </row>
    <row r="14" spans="1:7" ht="15.75" customHeight="1" x14ac:dyDescent="0.25">
      <c r="A14" t="s">
        <v>18</v>
      </c>
      <c r="C14" s="1">
        <v>-17.239999999999998</v>
      </c>
      <c r="E14" s="1">
        <v>-33.119999999999997</v>
      </c>
      <c r="G14" s="1">
        <v>15.88</v>
      </c>
    </row>
    <row r="15" spans="1:7" ht="15.75" customHeight="1" x14ac:dyDescent="0.25">
      <c r="A15" t="s">
        <v>19</v>
      </c>
      <c r="B15">
        <v>6381.99</v>
      </c>
      <c r="C15" s="1"/>
      <c r="E15" s="1"/>
      <c r="G15" s="1"/>
    </row>
    <row r="16" spans="1:7" ht="15.75" customHeight="1" x14ac:dyDescent="0.25">
      <c r="A16" t="s">
        <v>20</v>
      </c>
      <c r="C16" s="1">
        <v>-27.01</v>
      </c>
      <c r="E16" s="1">
        <v>-51.89</v>
      </c>
      <c r="G16" s="1">
        <v>24.88</v>
      </c>
    </row>
    <row r="17" spans="1:7" ht="15.75" customHeight="1" x14ac:dyDescent="0.25">
      <c r="A17" t="s">
        <v>21</v>
      </c>
      <c r="B17">
        <v>166.24</v>
      </c>
      <c r="C17" s="1"/>
      <c r="E17" s="1"/>
      <c r="G17" s="1"/>
    </row>
    <row r="18" spans="1:7" ht="15.75" customHeight="1" x14ac:dyDescent="0.25">
      <c r="A18" t="s">
        <v>22</v>
      </c>
      <c r="B18">
        <v>510.08</v>
      </c>
      <c r="C18" s="1"/>
      <c r="E18" s="1"/>
      <c r="G18" s="1"/>
    </row>
    <row r="19" spans="1:7" ht="15.75" customHeight="1" x14ac:dyDescent="0.25">
      <c r="A19" t="s">
        <v>23</v>
      </c>
      <c r="B19">
        <v>-0.09</v>
      </c>
      <c r="C19" s="1"/>
      <c r="D19">
        <v>-0.05</v>
      </c>
      <c r="E19" s="1"/>
      <c r="F19">
        <v>0.11</v>
      </c>
      <c r="G19" s="1"/>
    </row>
    <row r="20" spans="1:7" ht="15.75" customHeight="1" x14ac:dyDescent="0.25">
      <c r="A20" t="s">
        <v>24</v>
      </c>
      <c r="B20" t="s">
        <v>25</v>
      </c>
      <c r="C20" s="1"/>
      <c r="E20" s="1"/>
      <c r="G20" s="1"/>
    </row>
    <row r="21" spans="1:7" ht="15.75" customHeight="1" x14ac:dyDescent="0.25">
      <c r="A21" t="s">
        <v>26</v>
      </c>
      <c r="B21">
        <v>2175.5700000000002</v>
      </c>
      <c r="C21" s="1">
        <v>21.76</v>
      </c>
      <c r="E21" s="1"/>
      <c r="G21" s="1"/>
    </row>
    <row r="22" spans="1:7" ht="15.75" customHeight="1" x14ac:dyDescent="0.25">
      <c r="A22" t="s">
        <v>27</v>
      </c>
      <c r="B22">
        <v>3528.41</v>
      </c>
      <c r="C22" s="1">
        <v>35.28</v>
      </c>
      <c r="E22" s="1"/>
      <c r="G22" s="1"/>
    </row>
    <row r="23" spans="1:7" ht="15.75" customHeight="1" x14ac:dyDescent="0.25">
      <c r="A23" t="s">
        <v>28</v>
      </c>
      <c r="B23">
        <v>5556.96</v>
      </c>
      <c r="C23" s="1">
        <v>54.02</v>
      </c>
      <c r="E23" s="1"/>
      <c r="G23" s="1"/>
    </row>
    <row r="24" spans="1:7" ht="15.75" customHeight="1" x14ac:dyDescent="0.25">
      <c r="A24" t="s">
        <v>29</v>
      </c>
      <c r="C24" s="1">
        <v>55.57</v>
      </c>
      <c r="E24" s="1"/>
      <c r="G24" s="1"/>
    </row>
    <row r="25" spans="1:7" ht="15.75" customHeight="1" x14ac:dyDescent="0.25">
      <c r="A25" t="s">
        <v>30</v>
      </c>
      <c r="B25" t="s">
        <v>31</v>
      </c>
      <c r="C25" s="1"/>
      <c r="E25" s="1"/>
      <c r="G25" s="1"/>
    </row>
    <row r="26" spans="1:7" ht="15.75" customHeight="1" x14ac:dyDescent="0.25">
      <c r="A26" t="s">
        <v>32</v>
      </c>
      <c r="B26">
        <v>2952.54</v>
      </c>
      <c r="C26" s="1">
        <v>29.53</v>
      </c>
      <c r="E26" s="1"/>
      <c r="G26" s="1"/>
    </row>
    <row r="27" spans="1:7" ht="15.75" customHeight="1" x14ac:dyDescent="0.25">
      <c r="A27" t="s">
        <v>33</v>
      </c>
      <c r="B27">
        <v>-0.31</v>
      </c>
      <c r="C27" s="1"/>
      <c r="D27">
        <v>-0.57999999999999996</v>
      </c>
      <c r="E27" s="1"/>
      <c r="F27">
        <v>0.25</v>
      </c>
      <c r="G27" s="1"/>
    </row>
    <row r="28" spans="1:7" ht="15.75" customHeight="1" x14ac:dyDescent="0.25">
      <c r="A28" t="s">
        <v>34</v>
      </c>
      <c r="B28">
        <v>5744.21</v>
      </c>
      <c r="C28" s="1">
        <v>57.44</v>
      </c>
      <c r="E28" s="1"/>
      <c r="G28" s="1"/>
    </row>
    <row r="29" spans="1:7" ht="15.75" customHeight="1" x14ac:dyDescent="0.25">
      <c r="A29" t="s">
        <v>35</v>
      </c>
      <c r="B29">
        <v>5871.91</v>
      </c>
      <c r="C29" s="1">
        <v>55.95</v>
      </c>
      <c r="E29" s="1"/>
      <c r="G29" s="1"/>
    </row>
    <row r="30" spans="1:7" ht="15.75" customHeight="1" x14ac:dyDescent="0.25">
      <c r="A30" t="s">
        <v>36</v>
      </c>
      <c r="C30" s="1">
        <v>58.72</v>
      </c>
      <c r="E30" s="1"/>
      <c r="G30" s="1"/>
    </row>
    <row r="31" spans="1:7" ht="15.75" customHeight="1" x14ac:dyDescent="0.25">
      <c r="A31" t="s">
        <v>37</v>
      </c>
      <c r="C31" s="1">
        <v>-786.49</v>
      </c>
      <c r="E31" s="1">
        <v>-1511.11</v>
      </c>
      <c r="G31" s="1">
        <v>945.5</v>
      </c>
    </row>
    <row r="32" spans="1:7" ht="15.75" customHeight="1" x14ac:dyDescent="0.25">
      <c r="A32" t="s">
        <v>38</v>
      </c>
      <c r="C32" s="1">
        <v>5.17</v>
      </c>
      <c r="E32" s="1">
        <v>11.21</v>
      </c>
      <c r="G32" s="1">
        <v>7.23</v>
      </c>
    </row>
    <row r="33" spans="1:7" ht="15.75" customHeight="1" x14ac:dyDescent="0.25">
      <c r="A33" t="s">
        <v>39</v>
      </c>
      <c r="C33" s="1">
        <v>0.97</v>
      </c>
      <c r="E33" s="1">
        <v>1.69</v>
      </c>
      <c r="G33" s="1">
        <v>1.73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/>
  </sheetViews>
  <sheetFormatPr defaultRowHeight="15.75" x14ac:dyDescent="0.25"/>
  <cols>
    <col min="1" max="1" width="30.875" customWidth="1"/>
    <col min="2" max="2" width="9.875" customWidth="1"/>
    <col min="3" max="3" width="6.875" customWidth="1"/>
    <col min="4" max="4" width="10.875" customWidth="1"/>
    <col min="5" max="5" width="7.875" customWidth="1"/>
    <col min="6" max="6" width="11.875" customWidth="1"/>
    <col min="7" max="7" width="8.875" customWidth="1"/>
  </cols>
  <sheetData>
    <row r="1" spans="1:7" ht="15.75" customHeight="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5.75" customHeight="1" x14ac:dyDescent="0.25">
      <c r="A2" t="s">
        <v>40</v>
      </c>
      <c r="B2">
        <v>1</v>
      </c>
      <c r="C2" s="1"/>
      <c r="D2">
        <v>0</v>
      </c>
      <c r="E2" s="1"/>
      <c r="F2">
        <v>1</v>
      </c>
      <c r="G2" s="1"/>
    </row>
    <row r="3" spans="1:7" ht="15.75" customHeight="1" x14ac:dyDescent="0.25">
      <c r="A3" t="s">
        <v>41</v>
      </c>
      <c r="B3">
        <v>240</v>
      </c>
      <c r="C3" s="1"/>
      <c r="D3">
        <v>114</v>
      </c>
      <c r="E3" s="1"/>
      <c r="F3">
        <v>126</v>
      </c>
      <c r="G3" s="1"/>
    </row>
    <row r="4" spans="1:7" ht="15.75" customHeight="1" x14ac:dyDescent="0.25">
      <c r="A4" t="s">
        <v>42</v>
      </c>
      <c r="B4">
        <v>96</v>
      </c>
      <c r="C4" s="1"/>
      <c r="D4">
        <v>44</v>
      </c>
      <c r="E4" s="1"/>
      <c r="F4">
        <v>52</v>
      </c>
      <c r="G4" s="1"/>
    </row>
    <row r="5" spans="1:7" ht="15.75" customHeight="1" x14ac:dyDescent="0.25">
      <c r="A5" t="s">
        <v>43</v>
      </c>
      <c r="B5">
        <v>144</v>
      </c>
      <c r="C5" s="1"/>
      <c r="D5">
        <v>70</v>
      </c>
      <c r="E5" s="1"/>
      <c r="F5">
        <v>74</v>
      </c>
      <c r="G5" s="1"/>
    </row>
    <row r="6" spans="1:7" ht="15.75" customHeight="1" x14ac:dyDescent="0.25">
      <c r="A6" t="s">
        <v>44</v>
      </c>
      <c r="B6">
        <v>0</v>
      </c>
      <c r="C6" s="1"/>
      <c r="D6">
        <v>0</v>
      </c>
      <c r="E6" s="1"/>
      <c r="F6">
        <v>0</v>
      </c>
      <c r="G6" s="1"/>
    </row>
    <row r="7" spans="1:7" ht="15.75" customHeight="1" x14ac:dyDescent="0.25">
      <c r="A7" t="s">
        <v>45</v>
      </c>
      <c r="C7" s="1">
        <v>40</v>
      </c>
      <c r="E7" s="1">
        <v>38.6</v>
      </c>
      <c r="G7" s="1">
        <v>41.27</v>
      </c>
    </row>
    <row r="8" spans="1:7" ht="15.75" customHeight="1" x14ac:dyDescent="0.25">
      <c r="A8" t="s">
        <v>46</v>
      </c>
      <c r="B8">
        <v>-7.18</v>
      </c>
      <c r="C8" s="1">
        <v>0.04</v>
      </c>
      <c r="D8">
        <v>-29.05</v>
      </c>
      <c r="E8" s="1">
        <v>-0.25</v>
      </c>
      <c r="F8">
        <v>12.6</v>
      </c>
      <c r="G8" s="1">
        <v>0.31</v>
      </c>
    </row>
    <row r="9" spans="1:7" ht="15.75" customHeight="1" x14ac:dyDescent="0.25">
      <c r="A9" t="s">
        <v>47</v>
      </c>
      <c r="B9">
        <v>218.23</v>
      </c>
      <c r="C9" s="1">
        <v>1.76</v>
      </c>
      <c r="D9">
        <v>219.45</v>
      </c>
      <c r="E9" s="1">
        <v>1.17</v>
      </c>
      <c r="F9">
        <v>217.21</v>
      </c>
      <c r="G9" s="1">
        <v>2.2599999999999998</v>
      </c>
    </row>
    <row r="10" spans="1:7" ht="15.75" customHeight="1" x14ac:dyDescent="0.25">
      <c r="A10" t="s">
        <v>48</v>
      </c>
      <c r="B10">
        <v>157.46</v>
      </c>
      <c r="C10" s="1">
        <v>1.1000000000000001</v>
      </c>
      <c r="D10">
        <v>185.25</v>
      </c>
      <c r="E10" s="1">
        <v>1.1499999999999999</v>
      </c>
      <c r="F10">
        <v>131.16999999999999</v>
      </c>
      <c r="G10" s="1">
        <v>1.06</v>
      </c>
    </row>
    <row r="11" spans="1:7" ht="15.75" customHeight="1" x14ac:dyDescent="0.25">
      <c r="A11" t="s">
        <v>49</v>
      </c>
      <c r="B11">
        <v>1.3859999999999999</v>
      </c>
      <c r="C11" s="1"/>
      <c r="D11">
        <v>1.1850000000000001</v>
      </c>
      <c r="E11" s="1"/>
      <c r="F11">
        <v>1.6559999999999999</v>
      </c>
      <c r="G11" s="1"/>
    </row>
    <row r="12" spans="1:7" ht="15.75" customHeight="1" x14ac:dyDescent="0.25">
      <c r="A12" t="s">
        <v>50</v>
      </c>
      <c r="B12">
        <v>1082.42</v>
      </c>
      <c r="C12" s="1"/>
      <c r="D12">
        <v>1082.42</v>
      </c>
      <c r="E12" s="1"/>
      <c r="F12">
        <v>816.63</v>
      </c>
      <c r="G12" s="1"/>
    </row>
    <row r="13" spans="1:7" ht="15.75" customHeight="1" x14ac:dyDescent="0.25">
      <c r="A13" t="s">
        <v>51</v>
      </c>
      <c r="C13" s="1">
        <v>21.68</v>
      </c>
      <c r="E13" s="1">
        <v>5.89</v>
      </c>
      <c r="G13" s="1">
        <v>21.68</v>
      </c>
    </row>
    <row r="14" spans="1:7" ht="15.75" customHeight="1" x14ac:dyDescent="0.25">
      <c r="A14" t="s">
        <v>52</v>
      </c>
      <c r="B14">
        <v>219.16</v>
      </c>
      <c r="C14" s="1"/>
      <c r="D14">
        <v>219.16</v>
      </c>
      <c r="E14" s="1"/>
      <c r="F14">
        <v>167.96</v>
      </c>
      <c r="G14" s="1"/>
    </row>
    <row r="15" spans="1:7" ht="15.75" customHeight="1" x14ac:dyDescent="0.25">
      <c r="A15" t="s">
        <v>53</v>
      </c>
      <c r="C15" s="1">
        <v>3.03</v>
      </c>
      <c r="E15" s="1">
        <v>3.03</v>
      </c>
      <c r="G15" s="1">
        <v>2.4700000000000002</v>
      </c>
    </row>
    <row r="16" spans="1:7" ht="15.75" customHeight="1" x14ac:dyDescent="0.25">
      <c r="A16" t="s">
        <v>54</v>
      </c>
      <c r="B16">
        <v>145</v>
      </c>
      <c r="C16" s="1"/>
      <c r="D16">
        <v>89</v>
      </c>
      <c r="E16" s="1"/>
      <c r="F16">
        <v>197</v>
      </c>
      <c r="G16" s="1"/>
    </row>
    <row r="17" spans="1:7" ht="15.75" customHeight="1" x14ac:dyDescent="0.25">
      <c r="A17" t="s">
        <v>55</v>
      </c>
      <c r="B17">
        <v>275</v>
      </c>
      <c r="C17" s="1"/>
      <c r="D17">
        <v>145</v>
      </c>
      <c r="E17" s="1"/>
      <c r="F17">
        <v>385</v>
      </c>
      <c r="G17" s="1"/>
    </row>
    <row r="18" spans="1:7" ht="15.75" customHeight="1" x14ac:dyDescent="0.25">
      <c r="A18" t="s">
        <v>56</v>
      </c>
      <c r="B18">
        <v>59</v>
      </c>
      <c r="C18" s="1"/>
      <c r="D18">
        <v>53</v>
      </c>
      <c r="E18" s="1"/>
      <c r="F18">
        <v>65</v>
      </c>
      <c r="G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.75" x14ac:dyDescent="0.25"/>
  <cols>
    <col min="1" max="1" width="14.875" customWidth="1"/>
    <col min="2" max="2" width="9.875" customWidth="1"/>
    <col min="3" max="3" width="6.875" customWidth="1"/>
    <col min="4" max="4" width="10.875" customWidth="1"/>
    <col min="5" max="5" width="7.875" customWidth="1"/>
    <col min="6" max="6" width="11.875" customWidth="1"/>
    <col min="7" max="7" width="8.875" customWidth="1"/>
  </cols>
  <sheetData>
    <row r="1" spans="1:7" ht="15.75" customHeight="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5.75" customHeight="1" x14ac:dyDescent="0.25">
      <c r="A2" t="s">
        <v>57</v>
      </c>
      <c r="B2">
        <v>1.4E-2</v>
      </c>
      <c r="C2" s="1"/>
      <c r="E2" s="1"/>
      <c r="G2" s="1"/>
    </row>
    <row r="3" spans="1:7" ht="15.75" customHeight="1" x14ac:dyDescent="0.25">
      <c r="A3" t="s">
        <v>58</v>
      </c>
      <c r="B3">
        <v>2.1000000000000001E-2</v>
      </c>
      <c r="C3" s="1"/>
      <c r="E3" s="1"/>
      <c r="G3" s="1"/>
    </row>
    <row r="4" spans="1:7" ht="15.75" customHeight="1" x14ac:dyDescent="0.25">
      <c r="A4" t="s">
        <v>59</v>
      </c>
      <c r="B4">
        <v>0.92400000000000004</v>
      </c>
      <c r="C4" s="1"/>
      <c r="D4">
        <v>0.745</v>
      </c>
      <c r="E4" s="1"/>
      <c r="F4">
        <v>1.1639999999999999</v>
      </c>
      <c r="G4" s="1"/>
    </row>
    <row r="5" spans="1:7" ht="15.75" customHeight="1" x14ac:dyDescent="0.25">
      <c r="A5" t="s">
        <v>60</v>
      </c>
      <c r="B5">
        <v>0</v>
      </c>
      <c r="C5" s="1"/>
      <c r="D5">
        <v>0</v>
      </c>
      <c r="E5" s="1"/>
      <c r="F5">
        <v>0</v>
      </c>
      <c r="G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83"/>
  <sheetViews>
    <sheetView workbookViewId="0"/>
  </sheetViews>
  <sheetFormatPr defaultRowHeight="15.75" x14ac:dyDescent="0.25"/>
  <cols>
    <col min="1" max="1" width="8.875" customWidth="1"/>
    <col min="2" max="2" width="11.875" customWidth="1"/>
    <col min="3" max="3" width="17.875" customWidth="1"/>
    <col min="4" max="4" width="7.875" customWidth="1"/>
    <col min="5" max="5" width="11.875" customWidth="1"/>
    <col min="6" max="6" width="20.875" customWidth="1"/>
    <col min="7" max="7" width="22.875" customWidth="1"/>
    <col min="8" max="8" width="13.875" customWidth="1"/>
    <col min="9" max="9" width="10.875" customWidth="1"/>
    <col min="10" max="10" width="25.875" customWidth="1"/>
    <col min="11" max="11" width="22.875" customWidth="1"/>
    <col min="12" max="12" width="23.875" customWidth="1"/>
    <col min="13" max="14" width="20.875" customWidth="1"/>
    <col min="15" max="15" width="17.875" customWidth="1"/>
  </cols>
  <sheetData>
    <row r="1" spans="1:15" ht="15.75" customHeight="1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</row>
    <row r="2" spans="1:15" ht="15.75" customHeight="1" x14ac:dyDescent="0.25">
      <c r="A2">
        <v>1</v>
      </c>
      <c r="B2" t="s">
        <v>76</v>
      </c>
      <c r="C2" s="2">
        <v>45838.322916666657</v>
      </c>
      <c r="D2" t="s">
        <v>77</v>
      </c>
      <c r="E2">
        <v>107658.6</v>
      </c>
      <c r="F2">
        <v>0.23094300000000001</v>
      </c>
      <c r="G2">
        <v>25000.064730300001</v>
      </c>
      <c r="H2">
        <v>-157.01</v>
      </c>
      <c r="I2" s="1">
        <v>-0.63</v>
      </c>
      <c r="J2">
        <v>0</v>
      </c>
      <c r="K2" s="1">
        <v>0</v>
      </c>
      <c r="L2">
        <v>-147.06</v>
      </c>
      <c r="M2" s="1">
        <v>-0.59</v>
      </c>
      <c r="N2">
        <v>-167.01</v>
      </c>
      <c r="O2" s="1">
        <v>-1.67</v>
      </c>
    </row>
    <row r="3" spans="1:15" ht="15.75" customHeight="1" x14ac:dyDescent="0.25">
      <c r="A3">
        <v>1</v>
      </c>
      <c r="B3" t="s">
        <v>78</v>
      </c>
      <c r="C3" s="2">
        <v>45838.260416666657</v>
      </c>
      <c r="D3" t="s">
        <v>79</v>
      </c>
      <c r="E3">
        <v>108252.1</v>
      </c>
      <c r="F3">
        <v>0.23094300000000001</v>
      </c>
      <c r="G3">
        <v>25000.064730300001</v>
      </c>
      <c r="H3">
        <v>-157.01</v>
      </c>
      <c r="I3" s="1">
        <v>-0.63</v>
      </c>
      <c r="J3">
        <v>0</v>
      </c>
      <c r="K3" s="1">
        <v>0</v>
      </c>
      <c r="L3">
        <v>-147.06</v>
      </c>
      <c r="M3" s="1">
        <v>-0.59</v>
      </c>
      <c r="N3">
        <v>-167.01</v>
      </c>
      <c r="O3" s="1">
        <v>-1.67</v>
      </c>
    </row>
    <row r="4" spans="1:15" ht="15.75" customHeight="1" x14ac:dyDescent="0.25">
      <c r="A4">
        <v>2</v>
      </c>
      <c r="B4" t="s">
        <v>76</v>
      </c>
      <c r="C4" s="2">
        <v>45838.322916666657</v>
      </c>
      <c r="D4" t="s">
        <v>77</v>
      </c>
      <c r="E4">
        <v>107658.6</v>
      </c>
      <c r="F4">
        <v>0.23094300000000001</v>
      </c>
      <c r="G4">
        <v>25000.064730300001</v>
      </c>
      <c r="H4">
        <v>-157.01</v>
      </c>
      <c r="I4" s="1">
        <v>-0.63</v>
      </c>
      <c r="J4">
        <v>0</v>
      </c>
      <c r="K4" s="1">
        <v>0</v>
      </c>
      <c r="L4">
        <v>-147.06</v>
      </c>
      <c r="M4" s="1">
        <v>-0.59</v>
      </c>
      <c r="N4">
        <v>-314.02</v>
      </c>
      <c r="O4" s="1">
        <v>-3.14</v>
      </c>
    </row>
    <row r="5" spans="1:15" ht="15.75" customHeight="1" x14ac:dyDescent="0.25">
      <c r="A5">
        <v>2</v>
      </c>
      <c r="B5" t="s">
        <v>78</v>
      </c>
      <c r="C5" s="2">
        <v>45838.260416666657</v>
      </c>
      <c r="D5" t="s">
        <v>79</v>
      </c>
      <c r="E5">
        <v>108252.1</v>
      </c>
      <c r="F5">
        <v>0.23094300000000001</v>
      </c>
      <c r="G5">
        <v>25000.064730300001</v>
      </c>
      <c r="H5">
        <v>-157.01</v>
      </c>
      <c r="I5" s="1">
        <v>-0.63</v>
      </c>
      <c r="J5">
        <v>0</v>
      </c>
      <c r="K5" s="1">
        <v>0</v>
      </c>
      <c r="L5">
        <v>-147.06</v>
      </c>
      <c r="M5" s="1">
        <v>-0.59</v>
      </c>
      <c r="N5">
        <v>-314.02</v>
      </c>
      <c r="O5" s="1">
        <v>-3.14</v>
      </c>
    </row>
    <row r="6" spans="1:15" ht="15.75" customHeight="1" x14ac:dyDescent="0.25">
      <c r="A6">
        <v>3</v>
      </c>
      <c r="B6" t="s">
        <v>80</v>
      </c>
      <c r="C6" s="2">
        <v>45838.697916666657</v>
      </c>
      <c r="D6" t="s">
        <v>81</v>
      </c>
      <c r="E6">
        <v>107437.2</v>
      </c>
      <c r="F6">
        <v>0.22300400000000001</v>
      </c>
      <c r="G6">
        <v>23973.822015999998</v>
      </c>
      <c r="H6">
        <v>-4.28</v>
      </c>
      <c r="I6" s="1">
        <v>-0.02</v>
      </c>
      <c r="J6">
        <v>172.74</v>
      </c>
      <c r="K6" s="1">
        <v>0.72</v>
      </c>
      <c r="L6">
        <v>-101.6</v>
      </c>
      <c r="M6" s="1">
        <v>-0.42</v>
      </c>
      <c r="N6">
        <v>-327.89</v>
      </c>
      <c r="O6" s="1">
        <v>-3.28</v>
      </c>
    </row>
    <row r="7" spans="1:15" ht="15.75" customHeight="1" x14ac:dyDescent="0.25">
      <c r="A7">
        <v>3</v>
      </c>
      <c r="B7" t="s">
        <v>82</v>
      </c>
      <c r="C7" s="2">
        <v>45838.322916666657</v>
      </c>
      <c r="D7" t="s">
        <v>83</v>
      </c>
      <c r="E7">
        <v>107504</v>
      </c>
      <c r="F7">
        <v>0.22300400000000001</v>
      </c>
      <c r="G7">
        <v>23973.822015999998</v>
      </c>
      <c r="H7">
        <v>-4.28</v>
      </c>
      <c r="I7" s="1">
        <v>-0.02</v>
      </c>
      <c r="J7">
        <v>172.74</v>
      </c>
      <c r="K7" s="1">
        <v>0.72</v>
      </c>
      <c r="L7">
        <v>-101.6</v>
      </c>
      <c r="M7" s="1">
        <v>-0.42</v>
      </c>
      <c r="N7">
        <v>-327.89</v>
      </c>
      <c r="O7" s="1">
        <v>-3.28</v>
      </c>
    </row>
    <row r="8" spans="1:15" ht="15.75" customHeight="1" x14ac:dyDescent="0.25">
      <c r="A8">
        <v>4</v>
      </c>
      <c r="B8" t="s">
        <v>80</v>
      </c>
      <c r="C8" s="2">
        <v>45838.697916666657</v>
      </c>
      <c r="D8" t="s">
        <v>81</v>
      </c>
      <c r="E8">
        <v>107437.2</v>
      </c>
      <c r="F8">
        <v>0.22300500000000001</v>
      </c>
      <c r="G8">
        <v>23973.929520000002</v>
      </c>
      <c r="H8">
        <v>-4.28</v>
      </c>
      <c r="I8" s="1">
        <v>-0.02</v>
      </c>
      <c r="J8">
        <v>172.74</v>
      </c>
      <c r="K8" s="1">
        <v>0.72</v>
      </c>
      <c r="L8">
        <v>-101.6</v>
      </c>
      <c r="M8" s="1">
        <v>-0.42</v>
      </c>
      <c r="N8">
        <v>-322.57</v>
      </c>
      <c r="O8" s="1">
        <v>-3.23</v>
      </c>
    </row>
    <row r="9" spans="1:15" ht="15.75" customHeight="1" x14ac:dyDescent="0.25">
      <c r="A9">
        <v>4</v>
      </c>
      <c r="B9" t="s">
        <v>82</v>
      </c>
      <c r="C9" s="2">
        <v>45838.322916666657</v>
      </c>
      <c r="D9" t="s">
        <v>83</v>
      </c>
      <c r="E9">
        <v>107504</v>
      </c>
      <c r="F9">
        <v>0.22300500000000001</v>
      </c>
      <c r="G9">
        <v>23973.929520000002</v>
      </c>
      <c r="H9">
        <v>-4.28</v>
      </c>
      <c r="I9" s="1">
        <v>-0.02</v>
      </c>
      <c r="J9">
        <v>172.74</v>
      </c>
      <c r="K9" s="1">
        <v>0.72</v>
      </c>
      <c r="L9">
        <v>-101.6</v>
      </c>
      <c r="M9" s="1">
        <v>-0.42</v>
      </c>
      <c r="N9">
        <v>-322.57</v>
      </c>
      <c r="O9" s="1">
        <v>-3.23</v>
      </c>
    </row>
    <row r="10" spans="1:15" ht="15.75" customHeight="1" x14ac:dyDescent="0.25">
      <c r="A10">
        <v>5</v>
      </c>
      <c r="B10" t="s">
        <v>80</v>
      </c>
      <c r="C10" s="2">
        <v>45840.385416666657</v>
      </c>
      <c r="D10" t="s">
        <v>81</v>
      </c>
      <c r="E10">
        <v>107417.4</v>
      </c>
      <c r="F10">
        <v>0.138623</v>
      </c>
      <c r="G10">
        <v>14905.4519373</v>
      </c>
      <c r="H10">
        <v>3.01</v>
      </c>
      <c r="I10" s="1">
        <v>0.02</v>
      </c>
      <c r="J10">
        <v>342.69</v>
      </c>
      <c r="K10" s="1">
        <v>2.2999999999999998</v>
      </c>
      <c r="L10">
        <v>-40.6</v>
      </c>
      <c r="M10" s="1">
        <v>-0.27</v>
      </c>
      <c r="N10">
        <v>-325.52</v>
      </c>
      <c r="O10" s="1">
        <v>-3.26</v>
      </c>
    </row>
    <row r="11" spans="1:15" ht="15.75" customHeight="1" x14ac:dyDescent="0.25">
      <c r="A11">
        <v>5</v>
      </c>
      <c r="B11" t="s">
        <v>82</v>
      </c>
      <c r="C11" s="2">
        <v>45838.697916666657</v>
      </c>
      <c r="D11" t="s">
        <v>83</v>
      </c>
      <c r="E11">
        <v>107525.1</v>
      </c>
      <c r="F11">
        <v>0.138623</v>
      </c>
      <c r="G11">
        <v>14905.4519373</v>
      </c>
      <c r="H11">
        <v>3.01</v>
      </c>
      <c r="I11" s="1">
        <v>0.02</v>
      </c>
      <c r="J11">
        <v>342.69</v>
      </c>
      <c r="K11" s="1">
        <v>2.2999999999999998</v>
      </c>
      <c r="L11">
        <v>-40.6</v>
      </c>
      <c r="M11" s="1">
        <v>-0.27</v>
      </c>
      <c r="N11">
        <v>-325.52</v>
      </c>
      <c r="O11" s="1">
        <v>-3.26</v>
      </c>
    </row>
    <row r="12" spans="1:15" ht="15.75" customHeight="1" x14ac:dyDescent="0.25">
      <c r="A12">
        <v>6</v>
      </c>
      <c r="B12" t="s">
        <v>80</v>
      </c>
      <c r="C12" s="2">
        <v>45840.385416666657</v>
      </c>
      <c r="D12" t="s">
        <v>81</v>
      </c>
      <c r="E12">
        <v>107417.4</v>
      </c>
      <c r="F12">
        <v>0.138624</v>
      </c>
      <c r="G12">
        <v>14905.5594624</v>
      </c>
      <c r="H12">
        <v>3.01</v>
      </c>
      <c r="I12" s="1">
        <v>0.02</v>
      </c>
      <c r="J12">
        <v>342.69</v>
      </c>
      <c r="K12" s="1">
        <v>2.2999999999999998</v>
      </c>
      <c r="L12">
        <v>-40.6</v>
      </c>
      <c r="M12" s="1">
        <v>-0.27</v>
      </c>
      <c r="N12">
        <v>-316.55</v>
      </c>
      <c r="O12" s="1">
        <v>-3.17</v>
      </c>
    </row>
    <row r="13" spans="1:15" ht="15.75" customHeight="1" x14ac:dyDescent="0.25">
      <c r="A13">
        <v>6</v>
      </c>
      <c r="B13" t="s">
        <v>82</v>
      </c>
      <c r="C13" s="2">
        <v>45838.697916666657</v>
      </c>
      <c r="D13" t="s">
        <v>83</v>
      </c>
      <c r="E13">
        <v>107525.1</v>
      </c>
      <c r="F13">
        <v>0.138624</v>
      </c>
      <c r="G13">
        <v>14905.5594624</v>
      </c>
      <c r="H13">
        <v>3.01</v>
      </c>
      <c r="I13" s="1">
        <v>0.02</v>
      </c>
      <c r="J13">
        <v>342.69</v>
      </c>
      <c r="K13" s="1">
        <v>2.2999999999999998</v>
      </c>
      <c r="L13">
        <v>-40.6</v>
      </c>
      <c r="M13" s="1">
        <v>-0.27</v>
      </c>
      <c r="N13">
        <v>-316.55</v>
      </c>
      <c r="O13" s="1">
        <v>-3.17</v>
      </c>
    </row>
    <row r="14" spans="1:15" ht="15.75" customHeight="1" x14ac:dyDescent="0.25">
      <c r="A14">
        <v>7</v>
      </c>
      <c r="B14" t="s">
        <v>76</v>
      </c>
      <c r="C14" s="2">
        <v>45841.427083333343</v>
      </c>
      <c r="D14" t="s">
        <v>84</v>
      </c>
      <c r="E14">
        <v>109938.2</v>
      </c>
      <c r="F14">
        <v>0.232349</v>
      </c>
      <c r="G14">
        <v>25000.0321181</v>
      </c>
      <c r="H14">
        <v>523.78</v>
      </c>
      <c r="I14" s="1">
        <v>2.09</v>
      </c>
      <c r="J14">
        <v>534</v>
      </c>
      <c r="K14" s="1">
        <v>2.14</v>
      </c>
      <c r="L14">
        <v>-117.95</v>
      </c>
      <c r="M14" s="1">
        <v>-0.47</v>
      </c>
      <c r="N14">
        <v>197.23</v>
      </c>
      <c r="O14" s="1">
        <v>1.97</v>
      </c>
    </row>
    <row r="15" spans="1:15" ht="15.75" customHeight="1" x14ac:dyDescent="0.25">
      <c r="A15">
        <v>7</v>
      </c>
      <c r="B15" t="s">
        <v>78</v>
      </c>
      <c r="C15" s="2">
        <v>45840.385416666657</v>
      </c>
      <c r="D15" t="s">
        <v>79</v>
      </c>
      <c r="E15">
        <v>107596.9</v>
      </c>
      <c r="F15">
        <v>0.232349</v>
      </c>
      <c r="G15">
        <v>25000.0321181</v>
      </c>
      <c r="H15">
        <v>523.78</v>
      </c>
      <c r="I15" s="1">
        <v>2.09</v>
      </c>
      <c r="J15">
        <v>534</v>
      </c>
      <c r="K15" s="1">
        <v>2.14</v>
      </c>
      <c r="L15">
        <v>-117.95</v>
      </c>
      <c r="M15" s="1">
        <v>-0.47</v>
      </c>
      <c r="N15">
        <v>197.23</v>
      </c>
      <c r="O15" s="1">
        <v>1.97</v>
      </c>
    </row>
    <row r="16" spans="1:15" ht="15.75" customHeight="1" x14ac:dyDescent="0.25">
      <c r="A16">
        <v>8</v>
      </c>
      <c r="B16" t="s">
        <v>76</v>
      </c>
      <c r="C16" s="2">
        <v>45842.239583333343</v>
      </c>
      <c r="D16" t="s">
        <v>85</v>
      </c>
      <c r="E16">
        <v>108921.3</v>
      </c>
      <c r="F16">
        <v>0.23235</v>
      </c>
      <c r="G16">
        <v>25000.139715000001</v>
      </c>
      <c r="H16">
        <v>287.60000000000002</v>
      </c>
      <c r="I16" s="1">
        <v>1.1499999999999999</v>
      </c>
      <c r="J16">
        <v>660.82</v>
      </c>
      <c r="K16" s="1">
        <v>2.64</v>
      </c>
      <c r="L16">
        <v>-117.95</v>
      </c>
      <c r="M16" s="1">
        <v>-0.47</v>
      </c>
      <c r="N16">
        <v>494.83</v>
      </c>
      <c r="O16" s="1">
        <v>4.95</v>
      </c>
    </row>
    <row r="17" spans="1:15" ht="15.75" customHeight="1" x14ac:dyDescent="0.25">
      <c r="A17">
        <v>8</v>
      </c>
      <c r="B17" t="s">
        <v>78</v>
      </c>
      <c r="C17" s="2">
        <v>45840.385416666657</v>
      </c>
      <c r="D17" t="s">
        <v>79</v>
      </c>
      <c r="E17">
        <v>107596.9</v>
      </c>
      <c r="F17">
        <v>0.23235</v>
      </c>
      <c r="G17">
        <v>25000.139715000001</v>
      </c>
      <c r="H17">
        <v>287.60000000000002</v>
      </c>
      <c r="I17" s="1">
        <v>1.1499999999999999</v>
      </c>
      <c r="J17">
        <v>660.82</v>
      </c>
      <c r="K17" s="1">
        <v>2.64</v>
      </c>
      <c r="L17">
        <v>-117.95</v>
      </c>
      <c r="M17" s="1">
        <v>-0.47</v>
      </c>
      <c r="N17">
        <v>494.83</v>
      </c>
      <c r="O17" s="1">
        <v>4.95</v>
      </c>
    </row>
    <row r="18" spans="1:15" ht="15.75" customHeight="1" x14ac:dyDescent="0.25">
      <c r="A18">
        <v>9</v>
      </c>
      <c r="B18" t="s">
        <v>76</v>
      </c>
      <c r="C18" s="2">
        <v>45842.604166666657</v>
      </c>
      <c r="D18" t="s">
        <v>77</v>
      </c>
      <c r="E18">
        <v>108318.6</v>
      </c>
      <c r="F18">
        <v>0.229487</v>
      </c>
      <c r="G18">
        <v>25000.015446900001</v>
      </c>
      <c r="H18">
        <v>-162.25</v>
      </c>
      <c r="I18" s="1">
        <v>-0.65</v>
      </c>
      <c r="J18">
        <v>43.17</v>
      </c>
      <c r="K18" s="1">
        <v>0.17</v>
      </c>
      <c r="L18">
        <v>-152.30000000000001</v>
      </c>
      <c r="M18" s="1">
        <v>-0.61</v>
      </c>
      <c r="N18">
        <v>322.58</v>
      </c>
      <c r="O18" s="1">
        <v>3.23</v>
      </c>
    </row>
    <row r="19" spans="1:15" ht="15.75" customHeight="1" x14ac:dyDescent="0.25">
      <c r="A19">
        <v>9</v>
      </c>
      <c r="B19" t="s">
        <v>78</v>
      </c>
      <c r="C19" s="2">
        <v>45842.239583333343</v>
      </c>
      <c r="D19" t="s">
        <v>79</v>
      </c>
      <c r="E19">
        <v>108938.7</v>
      </c>
      <c r="F19">
        <v>0.229487</v>
      </c>
      <c r="G19">
        <v>25000.015446900001</v>
      </c>
      <c r="H19">
        <v>-162.25</v>
      </c>
      <c r="I19" s="1">
        <v>-0.65</v>
      </c>
      <c r="J19">
        <v>43.17</v>
      </c>
      <c r="K19" s="1">
        <v>0.17</v>
      </c>
      <c r="L19">
        <v>-152.30000000000001</v>
      </c>
      <c r="M19" s="1">
        <v>-0.61</v>
      </c>
      <c r="N19">
        <v>322.58</v>
      </c>
      <c r="O19" s="1">
        <v>3.23</v>
      </c>
    </row>
    <row r="20" spans="1:15" ht="15.75" customHeight="1" x14ac:dyDescent="0.25">
      <c r="A20">
        <v>10</v>
      </c>
      <c r="B20" t="s">
        <v>76</v>
      </c>
      <c r="C20" s="2">
        <v>45842.604166666657</v>
      </c>
      <c r="D20" t="s">
        <v>77</v>
      </c>
      <c r="E20">
        <v>108318.6</v>
      </c>
      <c r="F20">
        <v>0.229488</v>
      </c>
      <c r="G20">
        <v>25000.1243856</v>
      </c>
      <c r="H20">
        <v>-162.25</v>
      </c>
      <c r="I20" s="1">
        <v>-0.65</v>
      </c>
      <c r="J20">
        <v>43.17</v>
      </c>
      <c r="K20" s="1">
        <v>0.17</v>
      </c>
      <c r="L20">
        <v>-152.31</v>
      </c>
      <c r="M20" s="1">
        <v>-0.61</v>
      </c>
      <c r="N20">
        <v>170.34</v>
      </c>
      <c r="O20" s="1">
        <v>1.7</v>
      </c>
    </row>
    <row r="21" spans="1:15" ht="15.75" customHeight="1" x14ac:dyDescent="0.25">
      <c r="A21">
        <v>10</v>
      </c>
      <c r="B21" t="s">
        <v>78</v>
      </c>
      <c r="C21" s="2">
        <v>45842.239583333343</v>
      </c>
      <c r="D21" t="s">
        <v>79</v>
      </c>
      <c r="E21">
        <v>108938.7</v>
      </c>
      <c r="F21">
        <v>0.229488</v>
      </c>
      <c r="G21">
        <v>25000.1243856</v>
      </c>
      <c r="H21">
        <v>-162.25</v>
      </c>
      <c r="I21" s="1">
        <v>-0.65</v>
      </c>
      <c r="J21">
        <v>43.17</v>
      </c>
      <c r="K21" s="1">
        <v>0.17</v>
      </c>
      <c r="L21">
        <v>-152.31</v>
      </c>
      <c r="M21" s="1">
        <v>-0.61</v>
      </c>
      <c r="N21">
        <v>170.34</v>
      </c>
      <c r="O21" s="1">
        <v>1.7</v>
      </c>
    </row>
    <row r="22" spans="1:15" ht="15.75" customHeight="1" x14ac:dyDescent="0.25">
      <c r="A22">
        <v>11</v>
      </c>
      <c r="B22" t="s">
        <v>80</v>
      </c>
      <c r="C22" s="2">
        <v>45843.21875</v>
      </c>
      <c r="D22" t="s">
        <v>81</v>
      </c>
      <c r="E22">
        <v>108256.6</v>
      </c>
      <c r="F22">
        <v>0.21920899999999999</v>
      </c>
      <c r="G22">
        <v>23745.705320500001</v>
      </c>
      <c r="H22">
        <v>-4.1100000000000003</v>
      </c>
      <c r="I22" s="1">
        <v>-0.02</v>
      </c>
      <c r="J22">
        <v>237</v>
      </c>
      <c r="K22" s="1">
        <v>1</v>
      </c>
      <c r="L22">
        <v>-13.33</v>
      </c>
      <c r="M22" s="1">
        <v>-0.06</v>
      </c>
      <c r="N22">
        <v>156.72999999999999</v>
      </c>
      <c r="O22" s="1">
        <v>1.57</v>
      </c>
    </row>
    <row r="23" spans="1:15" ht="15.75" customHeight="1" x14ac:dyDescent="0.25">
      <c r="A23">
        <v>11</v>
      </c>
      <c r="B23" t="s">
        <v>82</v>
      </c>
      <c r="C23" s="2">
        <v>45842.604166666657</v>
      </c>
      <c r="D23" t="s">
        <v>83</v>
      </c>
      <c r="E23">
        <v>108324.5</v>
      </c>
      <c r="F23">
        <v>0.21920899999999999</v>
      </c>
      <c r="G23">
        <v>23745.705320500001</v>
      </c>
      <c r="H23">
        <v>-4.1100000000000003</v>
      </c>
      <c r="I23" s="1">
        <v>-0.02</v>
      </c>
      <c r="J23">
        <v>237</v>
      </c>
      <c r="K23" s="1">
        <v>1</v>
      </c>
      <c r="L23">
        <v>-13.33</v>
      </c>
      <c r="M23" s="1">
        <v>-0.06</v>
      </c>
      <c r="N23">
        <v>156.72999999999999</v>
      </c>
      <c r="O23" s="1">
        <v>1.57</v>
      </c>
    </row>
    <row r="24" spans="1:15" ht="15.75" customHeight="1" x14ac:dyDescent="0.25">
      <c r="A24">
        <v>12</v>
      </c>
      <c r="B24" t="s">
        <v>80</v>
      </c>
      <c r="C24" s="2">
        <v>45843.21875</v>
      </c>
      <c r="D24" t="s">
        <v>81</v>
      </c>
      <c r="E24">
        <v>108256.6</v>
      </c>
      <c r="F24">
        <v>0.21920999999999999</v>
      </c>
      <c r="G24">
        <v>23745.813644999998</v>
      </c>
      <c r="H24">
        <v>-4.1100000000000003</v>
      </c>
      <c r="I24" s="1">
        <v>-0.02</v>
      </c>
      <c r="J24">
        <v>237</v>
      </c>
      <c r="K24" s="1">
        <v>1</v>
      </c>
      <c r="L24">
        <v>-13.33</v>
      </c>
      <c r="M24" s="1">
        <v>-0.06</v>
      </c>
      <c r="N24">
        <v>162.12</v>
      </c>
      <c r="O24" s="1">
        <v>1.62</v>
      </c>
    </row>
    <row r="25" spans="1:15" ht="15.75" customHeight="1" x14ac:dyDescent="0.25">
      <c r="A25">
        <v>12</v>
      </c>
      <c r="B25" t="s">
        <v>82</v>
      </c>
      <c r="C25" s="2">
        <v>45842.604166666657</v>
      </c>
      <c r="D25" t="s">
        <v>83</v>
      </c>
      <c r="E25">
        <v>108324.5</v>
      </c>
      <c r="F25">
        <v>0.21920999999999999</v>
      </c>
      <c r="G25">
        <v>23745.813644999998</v>
      </c>
      <c r="H25">
        <v>-4.1100000000000003</v>
      </c>
      <c r="I25" s="1">
        <v>-0.02</v>
      </c>
      <c r="J25">
        <v>237</v>
      </c>
      <c r="K25" s="1">
        <v>1</v>
      </c>
      <c r="L25">
        <v>-13.33</v>
      </c>
      <c r="M25" s="1">
        <v>-0.06</v>
      </c>
      <c r="N25">
        <v>162.12</v>
      </c>
      <c r="O25" s="1">
        <v>1.62</v>
      </c>
    </row>
    <row r="26" spans="1:15" ht="15.75" customHeight="1" x14ac:dyDescent="0.25">
      <c r="A26">
        <v>13</v>
      </c>
      <c r="B26" t="s">
        <v>80</v>
      </c>
      <c r="C26" s="2">
        <v>45844.614583333343</v>
      </c>
      <c r="D26" t="s">
        <v>77</v>
      </c>
      <c r="E26">
        <v>108967.3</v>
      </c>
      <c r="F26">
        <v>0.23077900000000001</v>
      </c>
      <c r="G26">
        <v>24999.781356200001</v>
      </c>
      <c r="H26">
        <v>-167.64</v>
      </c>
      <c r="I26" s="1">
        <v>-0.67</v>
      </c>
      <c r="J26">
        <v>124.87</v>
      </c>
      <c r="K26" s="1">
        <v>0.5</v>
      </c>
      <c r="L26">
        <v>-157.58000000000001</v>
      </c>
      <c r="M26" s="1">
        <v>-0.63</v>
      </c>
      <c r="N26">
        <v>-15.52</v>
      </c>
      <c r="O26" s="1">
        <v>-0.16</v>
      </c>
    </row>
    <row r="27" spans="1:15" ht="15.75" customHeight="1" x14ac:dyDescent="0.25">
      <c r="A27">
        <v>13</v>
      </c>
      <c r="B27" t="s">
        <v>82</v>
      </c>
      <c r="C27" s="2">
        <v>45843.21875</v>
      </c>
      <c r="D27" t="s">
        <v>83</v>
      </c>
      <c r="E27">
        <v>108327.8</v>
      </c>
      <c r="F27">
        <v>0.23077900000000001</v>
      </c>
      <c r="G27">
        <v>24999.781356200001</v>
      </c>
      <c r="H27">
        <v>-167.64</v>
      </c>
      <c r="I27" s="1">
        <v>-0.67</v>
      </c>
      <c r="J27">
        <v>124.87</v>
      </c>
      <c r="K27" s="1">
        <v>0.5</v>
      </c>
      <c r="L27">
        <v>-157.58000000000001</v>
      </c>
      <c r="M27" s="1">
        <v>-0.63</v>
      </c>
      <c r="N27">
        <v>-15.52</v>
      </c>
      <c r="O27" s="1">
        <v>-0.16</v>
      </c>
    </row>
    <row r="28" spans="1:15" ht="15.75" customHeight="1" x14ac:dyDescent="0.25">
      <c r="A28">
        <v>14</v>
      </c>
      <c r="B28" t="s">
        <v>80</v>
      </c>
      <c r="C28" s="2">
        <v>45844.614583333343</v>
      </c>
      <c r="D28" t="s">
        <v>77</v>
      </c>
      <c r="E28">
        <v>108967.3</v>
      </c>
      <c r="F28">
        <v>0.23078000000000001</v>
      </c>
      <c r="G28">
        <v>24999.889684000002</v>
      </c>
      <c r="H28">
        <v>-167.64</v>
      </c>
      <c r="I28" s="1">
        <v>-0.67</v>
      </c>
      <c r="J28">
        <v>124.87</v>
      </c>
      <c r="K28" s="1">
        <v>0.5</v>
      </c>
      <c r="L28">
        <v>-157.58000000000001</v>
      </c>
      <c r="M28" s="1">
        <v>-0.63</v>
      </c>
      <c r="N28">
        <v>-173.16</v>
      </c>
      <c r="O28" s="1">
        <v>-1.73</v>
      </c>
    </row>
    <row r="29" spans="1:15" ht="15.75" customHeight="1" x14ac:dyDescent="0.25">
      <c r="A29">
        <v>14</v>
      </c>
      <c r="B29" t="s">
        <v>82</v>
      </c>
      <c r="C29" s="2">
        <v>45843.21875</v>
      </c>
      <c r="D29" t="s">
        <v>83</v>
      </c>
      <c r="E29">
        <v>108327.8</v>
      </c>
      <c r="F29">
        <v>0.23078000000000001</v>
      </c>
      <c r="G29">
        <v>24999.889684000002</v>
      </c>
      <c r="H29">
        <v>-167.64</v>
      </c>
      <c r="I29" s="1">
        <v>-0.67</v>
      </c>
      <c r="J29">
        <v>124.87</v>
      </c>
      <c r="K29" s="1">
        <v>0.5</v>
      </c>
      <c r="L29">
        <v>-157.58000000000001</v>
      </c>
      <c r="M29" s="1">
        <v>-0.63</v>
      </c>
      <c r="N29">
        <v>-173.16</v>
      </c>
      <c r="O29" s="1">
        <v>-1.73</v>
      </c>
    </row>
    <row r="30" spans="1:15" ht="15.75" customHeight="1" x14ac:dyDescent="0.25">
      <c r="A30">
        <v>15</v>
      </c>
      <c r="B30" t="s">
        <v>76</v>
      </c>
      <c r="C30" s="2">
        <v>45844.822916666657</v>
      </c>
      <c r="D30" t="s">
        <v>77</v>
      </c>
      <c r="E30">
        <v>108225.5</v>
      </c>
      <c r="F30">
        <v>0.229962</v>
      </c>
      <c r="G30">
        <v>25000.019879399999</v>
      </c>
      <c r="H30">
        <v>-132.22</v>
      </c>
      <c r="I30" s="1">
        <v>-0.53</v>
      </c>
      <c r="J30">
        <v>55.26</v>
      </c>
      <c r="K30" s="1">
        <v>0.22</v>
      </c>
      <c r="L30">
        <v>-122.27</v>
      </c>
      <c r="M30" s="1">
        <v>-0.49</v>
      </c>
      <c r="N30">
        <v>-315.38</v>
      </c>
      <c r="O30" s="1">
        <v>-3.15</v>
      </c>
    </row>
    <row r="31" spans="1:15" ht="15.75" customHeight="1" x14ac:dyDescent="0.25">
      <c r="A31">
        <v>15</v>
      </c>
      <c r="B31" t="s">
        <v>78</v>
      </c>
      <c r="C31" s="2">
        <v>45844.614583333343</v>
      </c>
      <c r="D31" t="s">
        <v>79</v>
      </c>
      <c r="E31">
        <v>108713.7</v>
      </c>
      <c r="F31">
        <v>0.229962</v>
      </c>
      <c r="G31">
        <v>25000.019879399999</v>
      </c>
      <c r="H31">
        <v>-132.22</v>
      </c>
      <c r="I31" s="1">
        <v>-0.53</v>
      </c>
      <c r="J31">
        <v>55.26</v>
      </c>
      <c r="K31" s="1">
        <v>0.22</v>
      </c>
      <c r="L31">
        <v>-122.27</v>
      </c>
      <c r="M31" s="1">
        <v>-0.49</v>
      </c>
      <c r="N31">
        <v>-315.38</v>
      </c>
      <c r="O31" s="1">
        <v>-3.15</v>
      </c>
    </row>
    <row r="32" spans="1:15" ht="15.75" customHeight="1" x14ac:dyDescent="0.25">
      <c r="A32">
        <v>16</v>
      </c>
      <c r="B32" t="s">
        <v>76</v>
      </c>
      <c r="C32" s="2">
        <v>45844.822916666657</v>
      </c>
      <c r="D32" t="s">
        <v>77</v>
      </c>
      <c r="E32">
        <v>108225.5</v>
      </c>
      <c r="F32">
        <v>0.229963</v>
      </c>
      <c r="G32">
        <v>25000.128593099998</v>
      </c>
      <c r="H32">
        <v>-132.22</v>
      </c>
      <c r="I32" s="1">
        <v>-0.53</v>
      </c>
      <c r="J32">
        <v>55.26</v>
      </c>
      <c r="K32" s="1">
        <v>0.22</v>
      </c>
      <c r="L32">
        <v>-122.27</v>
      </c>
      <c r="M32" s="1">
        <v>-0.49</v>
      </c>
      <c r="N32">
        <v>-437.61</v>
      </c>
      <c r="O32" s="1">
        <v>-4.38</v>
      </c>
    </row>
    <row r="33" spans="1:15" ht="15.75" customHeight="1" x14ac:dyDescent="0.25">
      <c r="A33">
        <v>16</v>
      </c>
      <c r="B33" t="s">
        <v>78</v>
      </c>
      <c r="C33" s="2">
        <v>45844.614583333343</v>
      </c>
      <c r="D33" t="s">
        <v>79</v>
      </c>
      <c r="E33">
        <v>108713.7</v>
      </c>
      <c r="F33">
        <v>0.229963</v>
      </c>
      <c r="G33">
        <v>25000.128593099998</v>
      </c>
      <c r="H33">
        <v>-132.22</v>
      </c>
      <c r="I33" s="1">
        <v>-0.53</v>
      </c>
      <c r="J33">
        <v>55.26</v>
      </c>
      <c r="K33" s="1">
        <v>0.22</v>
      </c>
      <c r="L33">
        <v>-122.27</v>
      </c>
      <c r="M33" s="1">
        <v>-0.49</v>
      </c>
      <c r="N33">
        <v>-437.61</v>
      </c>
      <c r="O33" s="1">
        <v>-4.38</v>
      </c>
    </row>
    <row r="34" spans="1:15" ht="15.75" customHeight="1" x14ac:dyDescent="0.25">
      <c r="A34">
        <v>17</v>
      </c>
      <c r="B34" t="s">
        <v>76</v>
      </c>
      <c r="C34" s="2">
        <v>45845.541666666657</v>
      </c>
      <c r="D34" t="s">
        <v>81</v>
      </c>
      <c r="E34">
        <v>108494.6</v>
      </c>
      <c r="F34">
        <v>0.230576</v>
      </c>
      <c r="G34">
        <v>25000.087511999998</v>
      </c>
      <c r="H34">
        <v>-3.84</v>
      </c>
      <c r="I34" s="1">
        <v>-0.02</v>
      </c>
      <c r="J34">
        <v>280.57</v>
      </c>
      <c r="K34" s="1">
        <v>1.1200000000000001</v>
      </c>
      <c r="L34">
        <v>-51.6</v>
      </c>
      <c r="M34" s="1">
        <v>-0.21</v>
      </c>
      <c r="N34">
        <v>-451.45</v>
      </c>
      <c r="O34" s="1">
        <v>-4.51</v>
      </c>
    </row>
    <row r="35" spans="1:15" ht="15.75" customHeight="1" x14ac:dyDescent="0.25">
      <c r="A35">
        <v>17</v>
      </c>
      <c r="B35" t="s">
        <v>78</v>
      </c>
      <c r="C35" s="2">
        <v>45844.822916666657</v>
      </c>
      <c r="D35" t="s">
        <v>79</v>
      </c>
      <c r="E35">
        <v>108424.5</v>
      </c>
      <c r="F35">
        <v>0.230576</v>
      </c>
      <c r="G35">
        <v>25000.087511999998</v>
      </c>
      <c r="H35">
        <v>-3.84</v>
      </c>
      <c r="I35" s="1">
        <v>-0.02</v>
      </c>
      <c r="J35">
        <v>280.57</v>
      </c>
      <c r="K35" s="1">
        <v>1.1200000000000001</v>
      </c>
      <c r="L35">
        <v>-51.6</v>
      </c>
      <c r="M35" s="1">
        <v>-0.21</v>
      </c>
      <c r="N35">
        <v>-451.45</v>
      </c>
      <c r="O35" s="1">
        <v>-4.51</v>
      </c>
    </row>
    <row r="36" spans="1:15" ht="15.75" customHeight="1" x14ac:dyDescent="0.25">
      <c r="A36">
        <v>18</v>
      </c>
      <c r="B36" t="s">
        <v>76</v>
      </c>
      <c r="C36" s="2">
        <v>45845.541666666657</v>
      </c>
      <c r="D36" t="s">
        <v>81</v>
      </c>
      <c r="E36">
        <v>108494.6</v>
      </c>
      <c r="F36">
        <v>0.230576</v>
      </c>
      <c r="G36">
        <v>25000.087511999998</v>
      </c>
      <c r="H36">
        <v>-3.84</v>
      </c>
      <c r="I36" s="1">
        <v>-0.02</v>
      </c>
      <c r="J36">
        <v>280.57</v>
      </c>
      <c r="K36" s="1">
        <v>1.1200000000000001</v>
      </c>
      <c r="L36">
        <v>-51.6</v>
      </c>
      <c r="M36" s="1">
        <v>-0.21</v>
      </c>
      <c r="N36">
        <v>-445.29</v>
      </c>
      <c r="O36" s="1">
        <v>-4.45</v>
      </c>
    </row>
    <row r="37" spans="1:15" ht="15.75" customHeight="1" x14ac:dyDescent="0.25">
      <c r="A37">
        <v>18</v>
      </c>
      <c r="B37" t="s">
        <v>78</v>
      </c>
      <c r="C37" s="2">
        <v>45844.822916666657</v>
      </c>
      <c r="D37" t="s">
        <v>79</v>
      </c>
      <c r="E37">
        <v>108424.5</v>
      </c>
      <c r="F37">
        <v>0.230576</v>
      </c>
      <c r="G37">
        <v>25000.087511999998</v>
      </c>
      <c r="H37">
        <v>-3.84</v>
      </c>
      <c r="I37" s="1">
        <v>-0.02</v>
      </c>
      <c r="J37">
        <v>280.57</v>
      </c>
      <c r="K37" s="1">
        <v>1.1200000000000001</v>
      </c>
      <c r="L37">
        <v>-51.6</v>
      </c>
      <c r="M37" s="1">
        <v>-0.21</v>
      </c>
      <c r="N37">
        <v>-445.29</v>
      </c>
      <c r="O37" s="1">
        <v>-4.45</v>
      </c>
    </row>
    <row r="38" spans="1:15" ht="15.75" customHeight="1" x14ac:dyDescent="0.25">
      <c r="A38">
        <v>19</v>
      </c>
      <c r="B38" t="s">
        <v>80</v>
      </c>
      <c r="C38" s="2">
        <v>45846.0625</v>
      </c>
      <c r="D38" t="s">
        <v>81</v>
      </c>
      <c r="E38">
        <v>108417.1</v>
      </c>
      <c r="F38">
        <v>0.230463</v>
      </c>
      <c r="G38">
        <v>24999.842665799999</v>
      </c>
      <c r="H38">
        <v>-6.28</v>
      </c>
      <c r="I38" s="1">
        <v>-0.03</v>
      </c>
      <c r="J38">
        <v>225.21</v>
      </c>
      <c r="K38" s="1">
        <v>0.9</v>
      </c>
      <c r="L38">
        <v>-41.25</v>
      </c>
      <c r="M38" s="1">
        <v>-0.16</v>
      </c>
      <c r="N38">
        <v>-461.58</v>
      </c>
      <c r="O38" s="1">
        <v>-4.62</v>
      </c>
    </row>
    <row r="39" spans="1:15" ht="15.75" customHeight="1" x14ac:dyDescent="0.25">
      <c r="A39">
        <v>19</v>
      </c>
      <c r="B39" t="s">
        <v>82</v>
      </c>
      <c r="C39" s="2">
        <v>45845.541666666657</v>
      </c>
      <c r="D39" t="s">
        <v>83</v>
      </c>
      <c r="E39">
        <v>108476.6</v>
      </c>
      <c r="F39">
        <v>0.230463</v>
      </c>
      <c r="G39">
        <v>24999.842665799999</v>
      </c>
      <c r="H39">
        <v>-6.28</v>
      </c>
      <c r="I39" s="1">
        <v>-0.03</v>
      </c>
      <c r="J39">
        <v>225.21</v>
      </c>
      <c r="K39" s="1">
        <v>0.9</v>
      </c>
      <c r="L39">
        <v>-41.25</v>
      </c>
      <c r="M39" s="1">
        <v>-0.16</v>
      </c>
      <c r="N39">
        <v>-461.58</v>
      </c>
      <c r="O39" s="1">
        <v>-4.62</v>
      </c>
    </row>
    <row r="40" spans="1:15" ht="15.75" customHeight="1" x14ac:dyDescent="0.25">
      <c r="A40">
        <v>20</v>
      </c>
      <c r="B40" t="s">
        <v>80</v>
      </c>
      <c r="C40" s="2">
        <v>45846.0625</v>
      </c>
      <c r="D40" t="s">
        <v>81</v>
      </c>
      <c r="E40">
        <v>108417.1</v>
      </c>
      <c r="F40">
        <v>0.230463</v>
      </c>
      <c r="G40">
        <v>24999.842665799999</v>
      </c>
      <c r="H40">
        <v>-6.28</v>
      </c>
      <c r="I40" s="1">
        <v>-0.03</v>
      </c>
      <c r="J40">
        <v>225.21</v>
      </c>
      <c r="K40" s="1">
        <v>0.9</v>
      </c>
      <c r="L40">
        <v>-41.25</v>
      </c>
      <c r="M40" s="1">
        <v>-0.16</v>
      </c>
      <c r="N40">
        <v>-457.86</v>
      </c>
      <c r="O40" s="1">
        <v>-4.58</v>
      </c>
    </row>
    <row r="41" spans="1:15" ht="15.75" customHeight="1" x14ac:dyDescent="0.25">
      <c r="A41">
        <v>20</v>
      </c>
      <c r="B41" t="s">
        <v>82</v>
      </c>
      <c r="C41" s="2">
        <v>45845.541666666657</v>
      </c>
      <c r="D41" t="s">
        <v>83</v>
      </c>
      <c r="E41">
        <v>108476.6</v>
      </c>
      <c r="F41">
        <v>0.230463</v>
      </c>
      <c r="G41">
        <v>24999.842665799999</v>
      </c>
      <c r="H41">
        <v>-6.28</v>
      </c>
      <c r="I41" s="1">
        <v>-0.03</v>
      </c>
      <c r="J41">
        <v>225.21</v>
      </c>
      <c r="K41" s="1">
        <v>0.9</v>
      </c>
      <c r="L41">
        <v>-41.25</v>
      </c>
      <c r="M41" s="1">
        <v>-0.16</v>
      </c>
      <c r="N41">
        <v>-457.86</v>
      </c>
      <c r="O41" s="1">
        <v>-4.58</v>
      </c>
    </row>
    <row r="42" spans="1:15" ht="15.75" customHeight="1" x14ac:dyDescent="0.25">
      <c r="A42">
        <v>21</v>
      </c>
      <c r="B42" t="s">
        <v>80</v>
      </c>
      <c r="C42" s="2">
        <v>45846.364583333343</v>
      </c>
      <c r="D42" t="s">
        <v>81</v>
      </c>
      <c r="E42">
        <v>108395.6</v>
      </c>
      <c r="F42">
        <v>0.20298099999999999</v>
      </c>
      <c r="G42">
        <v>22017.146089000002</v>
      </c>
      <c r="H42">
        <v>-2.71</v>
      </c>
      <c r="I42" s="1">
        <v>-0.01</v>
      </c>
      <c r="J42">
        <v>208.18</v>
      </c>
      <c r="K42" s="1">
        <v>0.95</v>
      </c>
      <c r="L42">
        <v>-10.02</v>
      </c>
      <c r="M42" s="1">
        <v>-0.05</v>
      </c>
      <c r="N42">
        <v>-469.37</v>
      </c>
      <c r="O42" s="1">
        <v>-4.6900000000000004</v>
      </c>
    </row>
    <row r="43" spans="1:15" ht="15.75" customHeight="1" x14ac:dyDescent="0.25">
      <c r="A43">
        <v>21</v>
      </c>
      <c r="B43" t="s">
        <v>82</v>
      </c>
      <c r="C43" s="2">
        <v>45846.0625</v>
      </c>
      <c r="D43" t="s">
        <v>83</v>
      </c>
      <c r="E43">
        <v>108469</v>
      </c>
      <c r="F43">
        <v>0.20298099999999999</v>
      </c>
      <c r="G43">
        <v>22017.146089000002</v>
      </c>
      <c r="H43">
        <v>-2.71</v>
      </c>
      <c r="I43" s="1">
        <v>-0.01</v>
      </c>
      <c r="J43">
        <v>208.18</v>
      </c>
      <c r="K43" s="1">
        <v>0.95</v>
      </c>
      <c r="L43">
        <v>-10.02</v>
      </c>
      <c r="M43" s="1">
        <v>-0.05</v>
      </c>
      <c r="N43">
        <v>-469.37</v>
      </c>
      <c r="O43" s="1">
        <v>-4.6900000000000004</v>
      </c>
    </row>
    <row r="44" spans="1:15" ht="15.75" customHeight="1" x14ac:dyDescent="0.25">
      <c r="A44">
        <v>22</v>
      </c>
      <c r="B44" t="s">
        <v>80</v>
      </c>
      <c r="C44" s="2">
        <v>45846.364583333343</v>
      </c>
      <c r="D44" t="s">
        <v>81</v>
      </c>
      <c r="E44">
        <v>108395.6</v>
      </c>
      <c r="F44">
        <v>0.20298099999999999</v>
      </c>
      <c r="G44">
        <v>22017.146089000002</v>
      </c>
      <c r="H44">
        <v>-2.71</v>
      </c>
      <c r="I44" s="1">
        <v>-0.01</v>
      </c>
      <c r="J44">
        <v>208.18</v>
      </c>
      <c r="K44" s="1">
        <v>0.95</v>
      </c>
      <c r="L44">
        <v>-10.02</v>
      </c>
      <c r="M44" s="1">
        <v>-0.05</v>
      </c>
      <c r="N44">
        <v>-463.28</v>
      </c>
      <c r="O44" s="1">
        <v>-4.63</v>
      </c>
    </row>
    <row r="45" spans="1:15" ht="15.75" customHeight="1" x14ac:dyDescent="0.25">
      <c r="A45">
        <v>22</v>
      </c>
      <c r="B45" t="s">
        <v>82</v>
      </c>
      <c r="C45" s="2">
        <v>45846.0625</v>
      </c>
      <c r="D45" t="s">
        <v>83</v>
      </c>
      <c r="E45">
        <v>108469</v>
      </c>
      <c r="F45">
        <v>0.20298099999999999</v>
      </c>
      <c r="G45">
        <v>22017.146089000002</v>
      </c>
      <c r="H45">
        <v>-2.71</v>
      </c>
      <c r="I45" s="1">
        <v>-0.01</v>
      </c>
      <c r="J45">
        <v>208.18</v>
      </c>
      <c r="K45" s="1">
        <v>0.95</v>
      </c>
      <c r="L45">
        <v>-10.02</v>
      </c>
      <c r="M45" s="1">
        <v>-0.05</v>
      </c>
      <c r="N45">
        <v>-463.28</v>
      </c>
      <c r="O45" s="1">
        <v>-4.63</v>
      </c>
    </row>
    <row r="46" spans="1:15" ht="15.75" customHeight="1" x14ac:dyDescent="0.25">
      <c r="A46">
        <v>23</v>
      </c>
      <c r="B46" t="s">
        <v>80</v>
      </c>
      <c r="C46" s="2">
        <v>45846.614583333343</v>
      </c>
      <c r="D46" t="s">
        <v>77</v>
      </c>
      <c r="E46">
        <v>109025.3</v>
      </c>
      <c r="F46">
        <v>0.23053999999999999</v>
      </c>
      <c r="G46">
        <v>24999.803707999999</v>
      </c>
      <c r="H46">
        <v>-154.94</v>
      </c>
      <c r="I46" s="1">
        <v>-0.62</v>
      </c>
      <c r="J46">
        <v>51.74</v>
      </c>
      <c r="K46" s="1">
        <v>0.21</v>
      </c>
      <c r="L46">
        <v>-144.88999999999999</v>
      </c>
      <c r="M46" s="1">
        <v>-0.57999999999999996</v>
      </c>
      <c r="N46">
        <v>-628.22</v>
      </c>
      <c r="O46" s="1">
        <v>-6.28</v>
      </c>
    </row>
    <row r="47" spans="1:15" ht="15.75" customHeight="1" x14ac:dyDescent="0.25">
      <c r="A47">
        <v>23</v>
      </c>
      <c r="B47" t="s">
        <v>82</v>
      </c>
      <c r="C47" s="2">
        <v>45846.364583333343</v>
      </c>
      <c r="D47" t="s">
        <v>83</v>
      </c>
      <c r="E47">
        <v>108440.2</v>
      </c>
      <c r="F47">
        <v>0.23053999999999999</v>
      </c>
      <c r="G47">
        <v>24999.803707999999</v>
      </c>
      <c r="H47">
        <v>-154.94</v>
      </c>
      <c r="I47" s="1">
        <v>-0.62</v>
      </c>
      <c r="J47">
        <v>51.74</v>
      </c>
      <c r="K47" s="1">
        <v>0.21</v>
      </c>
      <c r="L47">
        <v>-144.88999999999999</v>
      </c>
      <c r="M47" s="1">
        <v>-0.57999999999999996</v>
      </c>
      <c r="N47">
        <v>-628.22</v>
      </c>
      <c r="O47" s="1">
        <v>-6.28</v>
      </c>
    </row>
    <row r="48" spans="1:15" ht="15.75" customHeight="1" x14ac:dyDescent="0.25">
      <c r="A48">
        <v>24</v>
      </c>
      <c r="B48" t="s">
        <v>80</v>
      </c>
      <c r="C48" s="2">
        <v>45846.614583333343</v>
      </c>
      <c r="D48" t="s">
        <v>77</v>
      </c>
      <c r="E48">
        <v>109025.3</v>
      </c>
      <c r="F48">
        <v>0.230541</v>
      </c>
      <c r="G48">
        <v>24999.912148200001</v>
      </c>
      <c r="H48">
        <v>-154.94</v>
      </c>
      <c r="I48" s="1">
        <v>-0.62</v>
      </c>
      <c r="J48">
        <v>51.74</v>
      </c>
      <c r="K48" s="1">
        <v>0.21</v>
      </c>
      <c r="L48">
        <v>-144.88999999999999</v>
      </c>
      <c r="M48" s="1">
        <v>-0.57999999999999996</v>
      </c>
      <c r="N48">
        <v>-773.16</v>
      </c>
      <c r="O48" s="1">
        <v>-7.73</v>
      </c>
    </row>
    <row r="49" spans="1:15" ht="15.75" customHeight="1" x14ac:dyDescent="0.25">
      <c r="A49">
        <v>24</v>
      </c>
      <c r="B49" t="s">
        <v>82</v>
      </c>
      <c r="C49" s="2">
        <v>45846.364583333343</v>
      </c>
      <c r="D49" t="s">
        <v>83</v>
      </c>
      <c r="E49">
        <v>108440.2</v>
      </c>
      <c r="F49">
        <v>0.230541</v>
      </c>
      <c r="G49">
        <v>24999.912148200001</v>
      </c>
      <c r="H49">
        <v>-154.94</v>
      </c>
      <c r="I49" s="1">
        <v>-0.62</v>
      </c>
      <c r="J49">
        <v>51.74</v>
      </c>
      <c r="K49" s="1">
        <v>0.21</v>
      </c>
      <c r="L49">
        <v>-144.88999999999999</v>
      </c>
      <c r="M49" s="1">
        <v>-0.57999999999999996</v>
      </c>
      <c r="N49">
        <v>-773.16</v>
      </c>
      <c r="O49" s="1">
        <v>-7.73</v>
      </c>
    </row>
    <row r="50" spans="1:15" ht="15.75" customHeight="1" x14ac:dyDescent="0.25">
      <c r="A50">
        <v>25</v>
      </c>
      <c r="B50" t="s">
        <v>76</v>
      </c>
      <c r="C50" s="2">
        <v>45846.65625</v>
      </c>
      <c r="D50" t="s">
        <v>77</v>
      </c>
      <c r="E50">
        <v>108303.4</v>
      </c>
      <c r="F50">
        <v>0.229404</v>
      </c>
      <c r="G50">
        <v>25000.012052400001</v>
      </c>
      <c r="H50">
        <v>-174.72</v>
      </c>
      <c r="I50" s="1">
        <v>-0.7</v>
      </c>
      <c r="J50">
        <v>1.81</v>
      </c>
      <c r="K50" s="1">
        <v>0.01</v>
      </c>
      <c r="L50">
        <v>-164.78</v>
      </c>
      <c r="M50" s="1">
        <v>-0.66</v>
      </c>
      <c r="N50">
        <v>-957.88</v>
      </c>
      <c r="O50" s="1">
        <v>-9.58</v>
      </c>
    </row>
    <row r="51" spans="1:15" ht="15.75" customHeight="1" x14ac:dyDescent="0.25">
      <c r="A51">
        <v>25</v>
      </c>
      <c r="B51" t="s">
        <v>78</v>
      </c>
      <c r="C51" s="2">
        <v>45846.614583333343</v>
      </c>
      <c r="D51" t="s">
        <v>79</v>
      </c>
      <c r="E51">
        <v>108978.1</v>
      </c>
      <c r="F51">
        <v>0.229404</v>
      </c>
      <c r="G51">
        <v>25000.012052400001</v>
      </c>
      <c r="H51">
        <v>-174.72</v>
      </c>
      <c r="I51" s="1">
        <v>-0.7</v>
      </c>
      <c r="J51">
        <v>1.81</v>
      </c>
      <c r="K51" s="1">
        <v>0.01</v>
      </c>
      <c r="L51">
        <v>-164.78</v>
      </c>
      <c r="M51" s="1">
        <v>-0.66</v>
      </c>
      <c r="N51">
        <v>-957.88</v>
      </c>
      <c r="O51" s="1">
        <v>-9.58</v>
      </c>
    </row>
    <row r="52" spans="1:15" ht="15.75" customHeight="1" x14ac:dyDescent="0.25">
      <c r="A52">
        <v>26</v>
      </c>
      <c r="B52" t="s">
        <v>76</v>
      </c>
      <c r="C52" s="2">
        <v>45846.65625</v>
      </c>
      <c r="D52" t="s">
        <v>77</v>
      </c>
      <c r="E52">
        <v>108303.4</v>
      </c>
      <c r="F52">
        <v>0.229405</v>
      </c>
      <c r="G52">
        <v>25000.121030499999</v>
      </c>
      <c r="H52">
        <v>-174.72</v>
      </c>
      <c r="I52" s="1">
        <v>-0.7</v>
      </c>
      <c r="J52">
        <v>1.81</v>
      </c>
      <c r="K52" s="1">
        <v>0.01</v>
      </c>
      <c r="L52">
        <v>-164.78</v>
      </c>
      <c r="M52" s="1">
        <v>-0.66</v>
      </c>
      <c r="N52">
        <v>-1122.5999999999999</v>
      </c>
      <c r="O52" s="1">
        <v>-11.23</v>
      </c>
    </row>
    <row r="53" spans="1:15" ht="15.75" customHeight="1" x14ac:dyDescent="0.25">
      <c r="A53">
        <v>26</v>
      </c>
      <c r="B53" t="s">
        <v>78</v>
      </c>
      <c r="C53" s="2">
        <v>45846.614583333343</v>
      </c>
      <c r="D53" t="s">
        <v>79</v>
      </c>
      <c r="E53">
        <v>108978.1</v>
      </c>
      <c r="F53">
        <v>0.229405</v>
      </c>
      <c r="G53">
        <v>25000.121030499999</v>
      </c>
      <c r="H53">
        <v>-174.72</v>
      </c>
      <c r="I53" s="1">
        <v>-0.7</v>
      </c>
      <c r="J53">
        <v>1.81</v>
      </c>
      <c r="K53" s="1">
        <v>0.01</v>
      </c>
      <c r="L53">
        <v>-164.78</v>
      </c>
      <c r="M53" s="1">
        <v>-0.66</v>
      </c>
      <c r="N53">
        <v>-1122.5999999999999</v>
      </c>
      <c r="O53" s="1">
        <v>-11.23</v>
      </c>
    </row>
    <row r="54" spans="1:15" ht="15.75" customHeight="1" x14ac:dyDescent="0.25">
      <c r="A54">
        <v>27</v>
      </c>
      <c r="B54" t="s">
        <v>80</v>
      </c>
      <c r="C54" s="2">
        <v>45847.541666666657</v>
      </c>
      <c r="D54" t="s">
        <v>77</v>
      </c>
      <c r="E54">
        <v>109287.9</v>
      </c>
      <c r="F54">
        <v>0.157805</v>
      </c>
      <c r="G54">
        <v>17096.0098215</v>
      </c>
      <c r="H54">
        <v>-163.9</v>
      </c>
      <c r="I54" s="1">
        <v>-0.96</v>
      </c>
      <c r="J54">
        <v>39.76</v>
      </c>
      <c r="K54" s="1">
        <v>0.23</v>
      </c>
      <c r="L54">
        <v>-157.01</v>
      </c>
      <c r="M54" s="1">
        <v>-0.92</v>
      </c>
      <c r="N54">
        <v>-1293.3399999999999</v>
      </c>
      <c r="O54" s="1">
        <v>-12.93</v>
      </c>
    </row>
    <row r="55" spans="1:15" ht="15.75" customHeight="1" x14ac:dyDescent="0.25">
      <c r="A55">
        <v>27</v>
      </c>
      <c r="B55" t="s">
        <v>82</v>
      </c>
      <c r="C55" s="2">
        <v>45846.65625</v>
      </c>
      <c r="D55" t="s">
        <v>83</v>
      </c>
      <c r="E55">
        <v>108336.3</v>
      </c>
      <c r="F55">
        <v>0.157805</v>
      </c>
      <c r="G55">
        <v>17096.0098215</v>
      </c>
      <c r="H55">
        <v>-163.9</v>
      </c>
      <c r="I55" s="1">
        <v>-0.96</v>
      </c>
      <c r="J55">
        <v>39.76</v>
      </c>
      <c r="K55" s="1">
        <v>0.23</v>
      </c>
      <c r="L55">
        <v>-157.01</v>
      </c>
      <c r="M55" s="1">
        <v>-0.92</v>
      </c>
      <c r="N55">
        <v>-1293.3399999999999</v>
      </c>
      <c r="O55" s="1">
        <v>-12.93</v>
      </c>
    </row>
    <row r="56" spans="1:15" ht="15.75" customHeight="1" x14ac:dyDescent="0.25">
      <c r="A56">
        <v>28</v>
      </c>
      <c r="B56" t="s">
        <v>80</v>
      </c>
      <c r="C56" s="2">
        <v>45847.541666666657</v>
      </c>
      <c r="D56" t="s">
        <v>77</v>
      </c>
      <c r="E56">
        <v>109287.9</v>
      </c>
      <c r="F56">
        <v>0.157806</v>
      </c>
      <c r="G56">
        <v>17096.1181578</v>
      </c>
      <c r="H56">
        <v>-163.91</v>
      </c>
      <c r="I56" s="1">
        <v>-0.96</v>
      </c>
      <c r="J56">
        <v>39.76</v>
      </c>
      <c r="K56" s="1">
        <v>0.23</v>
      </c>
      <c r="L56">
        <v>-157.01</v>
      </c>
      <c r="M56" s="1">
        <v>-0.92</v>
      </c>
      <c r="N56">
        <v>-1450.41</v>
      </c>
      <c r="O56" s="1">
        <v>-14.5</v>
      </c>
    </row>
    <row r="57" spans="1:15" ht="15.75" customHeight="1" x14ac:dyDescent="0.25">
      <c r="A57">
        <v>28</v>
      </c>
      <c r="B57" t="s">
        <v>82</v>
      </c>
      <c r="C57" s="2">
        <v>45846.65625</v>
      </c>
      <c r="D57" t="s">
        <v>83</v>
      </c>
      <c r="E57">
        <v>108336.3</v>
      </c>
      <c r="F57">
        <v>0.157806</v>
      </c>
      <c r="G57">
        <v>17096.1181578</v>
      </c>
      <c r="H57">
        <v>-163.91</v>
      </c>
      <c r="I57" s="1">
        <v>-0.96</v>
      </c>
      <c r="J57">
        <v>39.76</v>
      </c>
      <c r="K57" s="1">
        <v>0.23</v>
      </c>
      <c r="L57">
        <v>-157.01</v>
      </c>
      <c r="M57" s="1">
        <v>-0.92</v>
      </c>
      <c r="N57">
        <v>-1450.41</v>
      </c>
      <c r="O57" s="1">
        <v>-14.5</v>
      </c>
    </row>
    <row r="58" spans="1:15" ht="15.75" customHeight="1" x14ac:dyDescent="0.25">
      <c r="A58">
        <v>29</v>
      </c>
      <c r="B58" t="s">
        <v>76</v>
      </c>
      <c r="C58" s="2">
        <v>45847.645833333343</v>
      </c>
      <c r="D58" t="s">
        <v>77</v>
      </c>
      <c r="E58">
        <v>108797</v>
      </c>
      <c r="F58">
        <v>0.22862299999999999</v>
      </c>
      <c r="G58">
        <v>25000.039361499999</v>
      </c>
      <c r="H58">
        <v>-146.49</v>
      </c>
      <c r="I58" s="1">
        <v>-0.59</v>
      </c>
      <c r="J58">
        <v>78.709999999999994</v>
      </c>
      <c r="K58" s="1">
        <v>0.31</v>
      </c>
      <c r="L58">
        <v>-136.54</v>
      </c>
      <c r="M58" s="1">
        <v>-0.55000000000000004</v>
      </c>
      <c r="N58">
        <v>-1606.9</v>
      </c>
      <c r="O58" s="1">
        <v>-16.07</v>
      </c>
    </row>
    <row r="59" spans="1:15" ht="15.75" customHeight="1" x14ac:dyDescent="0.25">
      <c r="A59">
        <v>29</v>
      </c>
      <c r="B59" t="s">
        <v>78</v>
      </c>
      <c r="C59" s="2">
        <v>45847.541666666657</v>
      </c>
      <c r="D59" t="s">
        <v>79</v>
      </c>
      <c r="E59">
        <v>109350.5</v>
      </c>
      <c r="F59">
        <v>0.22862299999999999</v>
      </c>
      <c r="G59">
        <v>25000.039361499999</v>
      </c>
      <c r="H59">
        <v>-146.49</v>
      </c>
      <c r="I59" s="1">
        <v>-0.59</v>
      </c>
      <c r="J59">
        <v>78.709999999999994</v>
      </c>
      <c r="K59" s="1">
        <v>0.31</v>
      </c>
      <c r="L59">
        <v>-136.54</v>
      </c>
      <c r="M59" s="1">
        <v>-0.55000000000000004</v>
      </c>
      <c r="N59">
        <v>-1606.9</v>
      </c>
      <c r="O59" s="1">
        <v>-16.07</v>
      </c>
    </row>
    <row r="60" spans="1:15" ht="15.75" customHeight="1" x14ac:dyDescent="0.25">
      <c r="A60">
        <v>30</v>
      </c>
      <c r="B60" t="s">
        <v>76</v>
      </c>
      <c r="C60" s="2">
        <v>45847.645833333343</v>
      </c>
      <c r="D60" t="s">
        <v>77</v>
      </c>
      <c r="E60">
        <v>108797</v>
      </c>
      <c r="F60">
        <v>0.22862399999999999</v>
      </c>
      <c r="G60">
        <v>25000.148711999998</v>
      </c>
      <c r="H60">
        <v>-146.49</v>
      </c>
      <c r="I60" s="1">
        <v>-0.59</v>
      </c>
      <c r="J60">
        <v>78.709999999999994</v>
      </c>
      <c r="K60" s="1">
        <v>0.31</v>
      </c>
      <c r="L60">
        <v>-136.54</v>
      </c>
      <c r="M60" s="1">
        <v>-0.55000000000000004</v>
      </c>
      <c r="N60">
        <v>-1743.39</v>
      </c>
      <c r="O60" s="1">
        <v>-17.43</v>
      </c>
    </row>
    <row r="61" spans="1:15" ht="15.75" customHeight="1" x14ac:dyDescent="0.25">
      <c r="A61">
        <v>30</v>
      </c>
      <c r="B61" t="s">
        <v>78</v>
      </c>
      <c r="C61" s="2">
        <v>45847.541666666657</v>
      </c>
      <c r="D61" t="s">
        <v>79</v>
      </c>
      <c r="E61">
        <v>109350.5</v>
      </c>
      <c r="F61">
        <v>0.22862399999999999</v>
      </c>
      <c r="G61">
        <v>25000.148711999998</v>
      </c>
      <c r="H61">
        <v>-146.49</v>
      </c>
      <c r="I61" s="1">
        <v>-0.59</v>
      </c>
      <c r="J61">
        <v>78.709999999999994</v>
      </c>
      <c r="K61" s="1">
        <v>0.31</v>
      </c>
      <c r="L61">
        <v>-136.54</v>
      </c>
      <c r="M61" s="1">
        <v>-0.55000000000000004</v>
      </c>
      <c r="N61">
        <v>-1743.39</v>
      </c>
      <c r="O61" s="1">
        <v>-17.43</v>
      </c>
    </row>
    <row r="62" spans="1:15" ht="15.75" customHeight="1" x14ac:dyDescent="0.25">
      <c r="A62">
        <v>31</v>
      </c>
      <c r="B62" t="s">
        <v>80</v>
      </c>
      <c r="C62" s="2">
        <v>45847.84375</v>
      </c>
      <c r="D62" t="s">
        <v>77</v>
      </c>
      <c r="E62">
        <v>109626.1</v>
      </c>
      <c r="F62">
        <v>0.15528700000000001</v>
      </c>
      <c r="G62">
        <v>16873.345661700001</v>
      </c>
      <c r="H62">
        <v>-163.72</v>
      </c>
      <c r="I62" s="1">
        <v>-0.97</v>
      </c>
      <c r="J62">
        <v>10.78</v>
      </c>
      <c r="K62" s="1">
        <v>0.06</v>
      </c>
      <c r="L62">
        <v>-156.91</v>
      </c>
      <c r="M62" s="1">
        <v>-0.93</v>
      </c>
      <c r="N62">
        <v>-1913.86</v>
      </c>
      <c r="O62" s="1">
        <v>-19.14</v>
      </c>
    </row>
    <row r="63" spans="1:15" ht="15.75" customHeight="1" x14ac:dyDescent="0.25">
      <c r="A63">
        <v>31</v>
      </c>
      <c r="B63" t="s">
        <v>82</v>
      </c>
      <c r="C63" s="2">
        <v>45847.645833333343</v>
      </c>
      <c r="D63" t="s">
        <v>83</v>
      </c>
      <c r="E63">
        <v>108659.1</v>
      </c>
      <c r="F63">
        <v>0.15528700000000001</v>
      </c>
      <c r="G63">
        <v>16873.345661700001</v>
      </c>
      <c r="H63">
        <v>-163.72</v>
      </c>
      <c r="I63" s="1">
        <v>-0.97</v>
      </c>
      <c r="J63">
        <v>10.78</v>
      </c>
      <c r="K63" s="1">
        <v>0.06</v>
      </c>
      <c r="L63">
        <v>-156.91</v>
      </c>
      <c r="M63" s="1">
        <v>-0.93</v>
      </c>
      <c r="N63">
        <v>-1913.86</v>
      </c>
      <c r="O63" s="1">
        <v>-19.14</v>
      </c>
    </row>
    <row r="64" spans="1:15" ht="15.75" customHeight="1" x14ac:dyDescent="0.25">
      <c r="A64">
        <v>32</v>
      </c>
      <c r="B64" t="s">
        <v>80</v>
      </c>
      <c r="C64" s="2">
        <v>45847.84375</v>
      </c>
      <c r="D64" t="s">
        <v>77</v>
      </c>
      <c r="E64">
        <v>109626.1</v>
      </c>
      <c r="F64">
        <v>0.15528700000000001</v>
      </c>
      <c r="G64">
        <v>16873.345661700001</v>
      </c>
      <c r="H64">
        <v>-163.72</v>
      </c>
      <c r="I64" s="1">
        <v>-0.97</v>
      </c>
      <c r="J64">
        <v>10.78</v>
      </c>
      <c r="K64" s="1">
        <v>0.06</v>
      </c>
      <c r="L64">
        <v>-156.91</v>
      </c>
      <c r="M64" s="1">
        <v>-0.93</v>
      </c>
      <c r="N64">
        <v>-2070.83</v>
      </c>
      <c r="O64" s="1">
        <v>-20.71</v>
      </c>
    </row>
    <row r="65" spans="1:15" ht="15.75" customHeight="1" x14ac:dyDescent="0.25">
      <c r="A65">
        <v>32</v>
      </c>
      <c r="B65" t="s">
        <v>82</v>
      </c>
      <c r="C65" s="2">
        <v>45847.645833333343</v>
      </c>
      <c r="D65" t="s">
        <v>83</v>
      </c>
      <c r="E65">
        <v>108659.1</v>
      </c>
      <c r="F65">
        <v>0.15528700000000001</v>
      </c>
      <c r="G65">
        <v>16873.345661700001</v>
      </c>
      <c r="H65">
        <v>-163.72</v>
      </c>
      <c r="I65" s="1">
        <v>-0.97</v>
      </c>
      <c r="J65">
        <v>10.78</v>
      </c>
      <c r="K65" s="1">
        <v>0.06</v>
      </c>
      <c r="L65">
        <v>-156.91</v>
      </c>
      <c r="M65" s="1">
        <v>-0.93</v>
      </c>
      <c r="N65">
        <v>-2070.83</v>
      </c>
      <c r="O65" s="1">
        <v>-20.71</v>
      </c>
    </row>
    <row r="66" spans="1:15" ht="15.75" customHeight="1" x14ac:dyDescent="0.25">
      <c r="A66">
        <v>33</v>
      </c>
      <c r="B66" t="s">
        <v>76</v>
      </c>
      <c r="C66" s="2">
        <v>45848.75</v>
      </c>
      <c r="D66" t="s">
        <v>84</v>
      </c>
      <c r="E66">
        <v>113421.7</v>
      </c>
      <c r="F66">
        <v>0.193166</v>
      </c>
      <c r="G66">
        <v>21309.300456000001</v>
      </c>
      <c r="H66">
        <v>582.63</v>
      </c>
      <c r="I66" s="1">
        <v>2.73</v>
      </c>
      <c r="J66">
        <v>591.39</v>
      </c>
      <c r="K66" s="1">
        <v>2.77</v>
      </c>
      <c r="L66">
        <v>-30.82</v>
      </c>
      <c r="M66" s="1">
        <v>-0.14000000000000001</v>
      </c>
      <c r="N66">
        <v>-1496.73</v>
      </c>
      <c r="O66" s="1">
        <v>-14.97</v>
      </c>
    </row>
    <row r="67" spans="1:15" ht="15.75" customHeight="1" x14ac:dyDescent="0.25">
      <c r="A67">
        <v>33</v>
      </c>
      <c r="B67" t="s">
        <v>78</v>
      </c>
      <c r="C67" s="2">
        <v>45847.84375</v>
      </c>
      <c r="D67" t="s">
        <v>79</v>
      </c>
      <c r="E67">
        <v>110316</v>
      </c>
      <c r="F67">
        <v>0.193166</v>
      </c>
      <c r="G67">
        <v>21309.300456000001</v>
      </c>
      <c r="H67">
        <v>582.63</v>
      </c>
      <c r="I67" s="1">
        <v>2.73</v>
      </c>
      <c r="J67">
        <v>591.39</v>
      </c>
      <c r="K67" s="1">
        <v>2.77</v>
      </c>
      <c r="L67">
        <v>-30.82</v>
      </c>
      <c r="M67" s="1">
        <v>-0.14000000000000001</v>
      </c>
      <c r="N67">
        <v>-1496.73</v>
      </c>
      <c r="O67" s="1">
        <v>-14.97</v>
      </c>
    </row>
    <row r="68" spans="1:15" ht="15.75" customHeight="1" x14ac:dyDescent="0.25">
      <c r="A68">
        <v>34</v>
      </c>
      <c r="B68" t="s">
        <v>76</v>
      </c>
      <c r="C68" s="2">
        <v>45848.927083333343</v>
      </c>
      <c r="D68" t="s">
        <v>86</v>
      </c>
      <c r="E68">
        <v>116010.1</v>
      </c>
      <c r="F68">
        <v>0.193166</v>
      </c>
      <c r="G68">
        <v>21309.300456000001</v>
      </c>
      <c r="H68">
        <v>1082.42</v>
      </c>
      <c r="I68" s="1">
        <v>5.08</v>
      </c>
      <c r="J68">
        <v>1091.3800000000001</v>
      </c>
      <c r="K68" s="1">
        <v>5.12</v>
      </c>
      <c r="L68">
        <v>-30.82</v>
      </c>
      <c r="M68" s="1">
        <v>-0.14000000000000001</v>
      </c>
      <c r="N68">
        <v>-405.79</v>
      </c>
      <c r="O68" s="1">
        <v>-4.0599999999999996</v>
      </c>
    </row>
    <row r="69" spans="1:15" ht="15.75" customHeight="1" x14ac:dyDescent="0.25">
      <c r="A69">
        <v>34</v>
      </c>
      <c r="B69" t="s">
        <v>78</v>
      </c>
      <c r="C69" s="2">
        <v>45847.84375</v>
      </c>
      <c r="D69" t="s">
        <v>79</v>
      </c>
      <c r="E69">
        <v>110316</v>
      </c>
      <c r="F69">
        <v>0.193166</v>
      </c>
      <c r="G69">
        <v>21309.300456000001</v>
      </c>
      <c r="H69">
        <v>1082.42</v>
      </c>
      <c r="I69" s="1">
        <v>5.08</v>
      </c>
      <c r="J69">
        <v>1091.3800000000001</v>
      </c>
      <c r="K69" s="1">
        <v>5.12</v>
      </c>
      <c r="L69">
        <v>-30.82</v>
      </c>
      <c r="M69" s="1">
        <v>-0.14000000000000001</v>
      </c>
      <c r="N69">
        <v>-405.79</v>
      </c>
      <c r="O69" s="1">
        <v>-4.0599999999999996</v>
      </c>
    </row>
    <row r="70" spans="1:15" ht="15.75" customHeight="1" x14ac:dyDescent="0.25">
      <c r="A70">
        <v>35</v>
      </c>
      <c r="B70" t="s">
        <v>76</v>
      </c>
      <c r="C70" s="2">
        <v>45852.260416666657</v>
      </c>
      <c r="D70" t="s">
        <v>84</v>
      </c>
      <c r="E70">
        <v>122603.1</v>
      </c>
      <c r="F70">
        <v>8.6792999999999995E-2</v>
      </c>
      <c r="G70">
        <v>10041.1342458</v>
      </c>
      <c r="H70">
        <v>591.67999999999995</v>
      </c>
      <c r="I70" s="1">
        <v>5.89</v>
      </c>
      <c r="J70">
        <v>595.94000000000005</v>
      </c>
      <c r="K70" s="1">
        <v>5.93</v>
      </c>
      <c r="L70">
        <v>-47.75</v>
      </c>
      <c r="M70" s="1">
        <v>-0.48</v>
      </c>
      <c r="N70">
        <v>181.88</v>
      </c>
      <c r="O70" s="1">
        <v>1.82</v>
      </c>
    </row>
    <row r="71" spans="1:15" ht="15.75" customHeight="1" x14ac:dyDescent="0.25">
      <c r="A71">
        <v>35</v>
      </c>
      <c r="B71" t="s">
        <v>78</v>
      </c>
      <c r="C71" s="2">
        <v>45848.927083333343</v>
      </c>
      <c r="D71" t="s">
        <v>79</v>
      </c>
      <c r="E71">
        <v>115690.6</v>
      </c>
      <c r="F71">
        <v>8.6792999999999995E-2</v>
      </c>
      <c r="G71">
        <v>10041.1342458</v>
      </c>
      <c r="H71">
        <v>591.67999999999995</v>
      </c>
      <c r="I71" s="1">
        <v>5.89</v>
      </c>
      <c r="J71">
        <v>595.94000000000005</v>
      </c>
      <c r="K71" s="1">
        <v>5.93</v>
      </c>
      <c r="L71">
        <v>-47.75</v>
      </c>
      <c r="M71" s="1">
        <v>-0.48</v>
      </c>
      <c r="N71">
        <v>181.88</v>
      </c>
      <c r="O71" s="1">
        <v>1.82</v>
      </c>
    </row>
    <row r="72" spans="1:15" ht="15.75" customHeight="1" x14ac:dyDescent="0.25">
      <c r="A72">
        <v>36</v>
      </c>
      <c r="B72" t="s">
        <v>76</v>
      </c>
      <c r="C72" s="2">
        <v>45853.114583333343</v>
      </c>
      <c r="D72" t="s">
        <v>85</v>
      </c>
      <c r="E72">
        <v>118689.8</v>
      </c>
      <c r="F72">
        <v>8.6792999999999995E-2</v>
      </c>
      <c r="G72">
        <v>10041.1342458</v>
      </c>
      <c r="H72">
        <v>252.17</v>
      </c>
      <c r="I72" s="1">
        <v>2.5099999999999998</v>
      </c>
      <c r="J72">
        <v>656.43</v>
      </c>
      <c r="K72" s="1">
        <v>6.53</v>
      </c>
      <c r="L72">
        <v>-47.75</v>
      </c>
      <c r="M72" s="1">
        <v>-0.48</v>
      </c>
      <c r="N72">
        <v>438.07</v>
      </c>
      <c r="O72" s="1">
        <v>4.38</v>
      </c>
    </row>
    <row r="73" spans="1:15" ht="15.75" customHeight="1" x14ac:dyDescent="0.25">
      <c r="A73">
        <v>36</v>
      </c>
      <c r="B73" t="s">
        <v>78</v>
      </c>
      <c r="C73" s="2">
        <v>45848.927083333343</v>
      </c>
      <c r="D73" t="s">
        <v>79</v>
      </c>
      <c r="E73">
        <v>115690.6</v>
      </c>
      <c r="F73">
        <v>8.6792999999999995E-2</v>
      </c>
      <c r="G73">
        <v>10041.1342458</v>
      </c>
      <c r="H73">
        <v>252.17</v>
      </c>
      <c r="I73" s="1">
        <v>2.5099999999999998</v>
      </c>
      <c r="J73">
        <v>656.43</v>
      </c>
      <c r="K73" s="1">
        <v>6.53</v>
      </c>
      <c r="L73">
        <v>-47.75</v>
      </c>
      <c r="M73" s="1">
        <v>-0.48</v>
      </c>
      <c r="N73">
        <v>438.07</v>
      </c>
      <c r="O73" s="1">
        <v>4.38</v>
      </c>
    </row>
    <row r="74" spans="1:15" ht="15.75" customHeight="1" x14ac:dyDescent="0.25">
      <c r="A74">
        <v>37</v>
      </c>
      <c r="B74" t="s">
        <v>80</v>
      </c>
      <c r="C74" s="2">
        <v>45853.604166666657</v>
      </c>
      <c r="D74" t="s">
        <v>81</v>
      </c>
      <c r="E74">
        <v>118327</v>
      </c>
      <c r="F74">
        <v>9.1323000000000001E-2</v>
      </c>
      <c r="G74">
        <v>10820.935328400001</v>
      </c>
      <c r="H74">
        <v>6.31</v>
      </c>
      <c r="I74" s="1">
        <v>0.06</v>
      </c>
      <c r="J74">
        <v>202.41</v>
      </c>
      <c r="K74" s="1">
        <v>1.87</v>
      </c>
      <c r="L74">
        <v>-39.25</v>
      </c>
      <c r="M74" s="1">
        <v>-0.36</v>
      </c>
      <c r="N74">
        <v>440.05</v>
      </c>
      <c r="O74" s="1">
        <v>4.4000000000000004</v>
      </c>
    </row>
    <row r="75" spans="1:15" ht="15.75" customHeight="1" x14ac:dyDescent="0.25">
      <c r="A75">
        <v>37</v>
      </c>
      <c r="B75" t="s">
        <v>82</v>
      </c>
      <c r="C75" s="2">
        <v>45853.114583333343</v>
      </c>
      <c r="D75" t="s">
        <v>83</v>
      </c>
      <c r="E75">
        <v>118490.8</v>
      </c>
      <c r="F75">
        <v>9.1323000000000001E-2</v>
      </c>
      <c r="G75">
        <v>10820.935328400001</v>
      </c>
      <c r="H75">
        <v>6.31</v>
      </c>
      <c r="I75" s="1">
        <v>0.06</v>
      </c>
      <c r="J75">
        <v>202.41</v>
      </c>
      <c r="K75" s="1">
        <v>1.87</v>
      </c>
      <c r="L75">
        <v>-39.25</v>
      </c>
      <c r="M75" s="1">
        <v>-0.36</v>
      </c>
      <c r="N75">
        <v>440.05</v>
      </c>
      <c r="O75" s="1">
        <v>4.4000000000000004</v>
      </c>
    </row>
    <row r="76" spans="1:15" ht="15.75" customHeight="1" x14ac:dyDescent="0.25">
      <c r="A76">
        <v>38</v>
      </c>
      <c r="B76" t="s">
        <v>80</v>
      </c>
      <c r="C76" s="2">
        <v>45853.604166666657</v>
      </c>
      <c r="D76" t="s">
        <v>81</v>
      </c>
      <c r="E76">
        <v>118327</v>
      </c>
      <c r="F76">
        <v>9.1323000000000001E-2</v>
      </c>
      <c r="G76">
        <v>10820.935328400001</v>
      </c>
      <c r="H76">
        <v>6.31</v>
      </c>
      <c r="I76" s="1">
        <v>0.06</v>
      </c>
      <c r="J76">
        <v>202.41</v>
      </c>
      <c r="K76" s="1">
        <v>1.87</v>
      </c>
      <c r="L76">
        <v>-39.25</v>
      </c>
      <c r="M76" s="1">
        <v>-0.36</v>
      </c>
      <c r="N76">
        <v>450.69</v>
      </c>
      <c r="O76" s="1">
        <v>4.51</v>
      </c>
    </row>
    <row r="77" spans="1:15" ht="15.75" customHeight="1" x14ac:dyDescent="0.25">
      <c r="A77">
        <v>38</v>
      </c>
      <c r="B77" t="s">
        <v>82</v>
      </c>
      <c r="C77" s="2">
        <v>45853.114583333343</v>
      </c>
      <c r="D77" t="s">
        <v>83</v>
      </c>
      <c r="E77">
        <v>118490.8</v>
      </c>
      <c r="F77">
        <v>9.1323000000000001E-2</v>
      </c>
      <c r="G77">
        <v>10820.935328400001</v>
      </c>
      <c r="H77">
        <v>6.31</v>
      </c>
      <c r="I77" s="1">
        <v>0.06</v>
      </c>
      <c r="J77">
        <v>202.41</v>
      </c>
      <c r="K77" s="1">
        <v>1.87</v>
      </c>
      <c r="L77">
        <v>-39.25</v>
      </c>
      <c r="M77" s="1">
        <v>-0.36</v>
      </c>
      <c r="N77">
        <v>450.69</v>
      </c>
      <c r="O77" s="1">
        <v>4.51</v>
      </c>
    </row>
    <row r="78" spans="1:15" ht="15.75" customHeight="1" x14ac:dyDescent="0.25">
      <c r="A78">
        <v>39</v>
      </c>
      <c r="B78" t="s">
        <v>76</v>
      </c>
      <c r="C78" s="2">
        <v>45853.65625</v>
      </c>
      <c r="D78" t="s">
        <v>77</v>
      </c>
      <c r="E78">
        <v>116246.5</v>
      </c>
      <c r="F78">
        <v>9.8969000000000001E-2</v>
      </c>
      <c r="G78">
        <v>11704.9052796</v>
      </c>
      <c r="H78">
        <v>-209.39</v>
      </c>
      <c r="I78" s="1">
        <v>-1.79</v>
      </c>
      <c r="J78">
        <v>12.22</v>
      </c>
      <c r="K78" s="1">
        <v>0.1</v>
      </c>
      <c r="L78">
        <v>-204.79</v>
      </c>
      <c r="M78" s="1">
        <v>-1.75</v>
      </c>
      <c r="N78">
        <v>236.61</v>
      </c>
      <c r="O78" s="1">
        <v>2.37</v>
      </c>
    </row>
    <row r="79" spans="1:15" ht="15.75" customHeight="1" x14ac:dyDescent="0.25">
      <c r="A79">
        <v>39</v>
      </c>
      <c r="B79" t="s">
        <v>78</v>
      </c>
      <c r="C79" s="2">
        <v>45853.604166666657</v>
      </c>
      <c r="D79" t="s">
        <v>79</v>
      </c>
      <c r="E79">
        <v>118268.4</v>
      </c>
      <c r="F79">
        <v>9.8969000000000001E-2</v>
      </c>
      <c r="G79">
        <v>11704.9052796</v>
      </c>
      <c r="H79">
        <v>-209.39</v>
      </c>
      <c r="I79" s="1">
        <v>-1.79</v>
      </c>
      <c r="J79">
        <v>12.22</v>
      </c>
      <c r="K79" s="1">
        <v>0.1</v>
      </c>
      <c r="L79">
        <v>-204.79</v>
      </c>
      <c r="M79" s="1">
        <v>-1.75</v>
      </c>
      <c r="N79">
        <v>236.61</v>
      </c>
      <c r="O79" s="1">
        <v>2.37</v>
      </c>
    </row>
    <row r="80" spans="1:15" ht="15.75" customHeight="1" x14ac:dyDescent="0.25">
      <c r="A80">
        <v>40</v>
      </c>
      <c r="B80" t="s">
        <v>76</v>
      </c>
      <c r="C80" s="2">
        <v>45853.65625</v>
      </c>
      <c r="D80" t="s">
        <v>77</v>
      </c>
      <c r="E80">
        <v>116246.5</v>
      </c>
      <c r="F80">
        <v>9.8969000000000001E-2</v>
      </c>
      <c r="G80">
        <v>11704.9052796</v>
      </c>
      <c r="H80">
        <v>-209.39</v>
      </c>
      <c r="I80" s="1">
        <v>-1.79</v>
      </c>
      <c r="J80">
        <v>12.22</v>
      </c>
      <c r="K80" s="1">
        <v>0.1</v>
      </c>
      <c r="L80">
        <v>-204.79</v>
      </c>
      <c r="M80" s="1">
        <v>-1.75</v>
      </c>
      <c r="N80">
        <v>31.91</v>
      </c>
      <c r="O80" s="1">
        <v>0.32</v>
      </c>
    </row>
    <row r="81" spans="1:15" ht="15.75" customHeight="1" x14ac:dyDescent="0.25">
      <c r="A81">
        <v>40</v>
      </c>
      <c r="B81" t="s">
        <v>78</v>
      </c>
      <c r="C81" s="2">
        <v>45853.604166666657</v>
      </c>
      <c r="D81" t="s">
        <v>79</v>
      </c>
      <c r="E81">
        <v>118268.4</v>
      </c>
      <c r="F81">
        <v>9.8969000000000001E-2</v>
      </c>
      <c r="G81">
        <v>11704.9052796</v>
      </c>
      <c r="H81">
        <v>-209.39</v>
      </c>
      <c r="I81" s="1">
        <v>-1.79</v>
      </c>
      <c r="J81">
        <v>12.22</v>
      </c>
      <c r="K81" s="1">
        <v>0.1</v>
      </c>
      <c r="L81">
        <v>-204.79</v>
      </c>
      <c r="M81" s="1">
        <v>-1.75</v>
      </c>
      <c r="N81">
        <v>31.91</v>
      </c>
      <c r="O81" s="1">
        <v>0.32</v>
      </c>
    </row>
    <row r="82" spans="1:15" ht="15.75" customHeight="1" x14ac:dyDescent="0.25">
      <c r="A82">
        <v>41</v>
      </c>
      <c r="B82" t="s">
        <v>80</v>
      </c>
      <c r="C82" s="2">
        <v>45854.395833333343</v>
      </c>
      <c r="D82" t="s">
        <v>77</v>
      </c>
      <c r="E82">
        <v>118418.7</v>
      </c>
      <c r="F82">
        <v>6.1511999999999997E-2</v>
      </c>
      <c r="G82">
        <v>7134.1063991999999</v>
      </c>
      <c r="H82">
        <v>-155.83000000000001</v>
      </c>
      <c r="I82" s="1">
        <v>-2.1800000000000002</v>
      </c>
      <c r="J82">
        <v>11.23</v>
      </c>
      <c r="K82" s="1">
        <v>0.16</v>
      </c>
      <c r="L82">
        <v>-152.91999999999999</v>
      </c>
      <c r="M82" s="1">
        <v>-2.14</v>
      </c>
      <c r="N82">
        <v>-126.78</v>
      </c>
      <c r="O82" s="1">
        <v>-1.27</v>
      </c>
    </row>
    <row r="83" spans="1:15" ht="15.75" customHeight="1" x14ac:dyDescent="0.25">
      <c r="A83">
        <v>41</v>
      </c>
      <c r="B83" t="s">
        <v>82</v>
      </c>
      <c r="C83" s="2">
        <v>45853.65625</v>
      </c>
      <c r="D83" t="s">
        <v>83</v>
      </c>
      <c r="E83">
        <v>115979.1</v>
      </c>
      <c r="F83">
        <v>6.1511999999999997E-2</v>
      </c>
      <c r="G83">
        <v>7134.1063991999999</v>
      </c>
      <c r="H83">
        <v>-155.83000000000001</v>
      </c>
      <c r="I83" s="1">
        <v>-2.1800000000000002</v>
      </c>
      <c r="J83">
        <v>11.23</v>
      </c>
      <c r="K83" s="1">
        <v>0.16</v>
      </c>
      <c r="L83">
        <v>-152.91999999999999</v>
      </c>
      <c r="M83" s="1">
        <v>-2.14</v>
      </c>
      <c r="N83">
        <v>-126.78</v>
      </c>
      <c r="O83" s="1">
        <v>-1.27</v>
      </c>
    </row>
    <row r="84" spans="1:15" ht="15.75" customHeight="1" x14ac:dyDescent="0.25">
      <c r="A84">
        <v>42</v>
      </c>
      <c r="B84" t="s">
        <v>80</v>
      </c>
      <c r="C84" s="2">
        <v>45854.395833333343</v>
      </c>
      <c r="D84" t="s">
        <v>77</v>
      </c>
      <c r="E84">
        <v>118418.7</v>
      </c>
      <c r="F84">
        <v>6.1512999999999998E-2</v>
      </c>
      <c r="G84">
        <v>7134.2223782999999</v>
      </c>
      <c r="H84">
        <v>-155.83000000000001</v>
      </c>
      <c r="I84" s="1">
        <v>-2.1800000000000002</v>
      </c>
      <c r="J84">
        <v>11.23</v>
      </c>
      <c r="K84" s="1">
        <v>0.16</v>
      </c>
      <c r="L84">
        <v>-152.91999999999999</v>
      </c>
      <c r="M84" s="1">
        <v>-2.14</v>
      </c>
      <c r="N84">
        <v>-279.76</v>
      </c>
      <c r="O84" s="1">
        <v>-2.8</v>
      </c>
    </row>
    <row r="85" spans="1:15" ht="15.75" customHeight="1" x14ac:dyDescent="0.25">
      <c r="A85">
        <v>42</v>
      </c>
      <c r="B85" t="s">
        <v>82</v>
      </c>
      <c r="C85" s="2">
        <v>45853.65625</v>
      </c>
      <c r="D85" t="s">
        <v>83</v>
      </c>
      <c r="E85">
        <v>115979.1</v>
      </c>
      <c r="F85">
        <v>6.1512999999999998E-2</v>
      </c>
      <c r="G85">
        <v>7134.2223782999999</v>
      </c>
      <c r="H85">
        <v>-155.83000000000001</v>
      </c>
      <c r="I85" s="1">
        <v>-2.1800000000000002</v>
      </c>
      <c r="J85">
        <v>11.23</v>
      </c>
      <c r="K85" s="1">
        <v>0.16</v>
      </c>
      <c r="L85">
        <v>-152.91999999999999</v>
      </c>
      <c r="M85" s="1">
        <v>-2.14</v>
      </c>
      <c r="N85">
        <v>-279.76</v>
      </c>
      <c r="O85" s="1">
        <v>-2.8</v>
      </c>
    </row>
    <row r="86" spans="1:15" ht="15.75" customHeight="1" x14ac:dyDescent="0.25">
      <c r="A86">
        <v>43</v>
      </c>
      <c r="B86" t="s">
        <v>76</v>
      </c>
      <c r="C86" s="2">
        <v>45854.677083333343</v>
      </c>
      <c r="D86" t="s">
        <v>81</v>
      </c>
      <c r="E86">
        <v>118880</v>
      </c>
      <c r="F86">
        <v>0.199651</v>
      </c>
      <c r="G86">
        <v>23714.605675300001</v>
      </c>
      <c r="H86">
        <v>0.93</v>
      </c>
      <c r="I86" s="1">
        <v>0</v>
      </c>
      <c r="J86">
        <v>191.44</v>
      </c>
      <c r="K86" s="1">
        <v>0.81</v>
      </c>
      <c r="L86">
        <v>-134.13</v>
      </c>
      <c r="M86" s="1">
        <v>-0.56999999999999995</v>
      </c>
      <c r="N86">
        <v>-288.32</v>
      </c>
      <c r="O86" s="1">
        <v>-2.88</v>
      </c>
    </row>
    <row r="87" spans="1:15" ht="15.75" customHeight="1" x14ac:dyDescent="0.25">
      <c r="A87">
        <v>43</v>
      </c>
      <c r="B87" t="s">
        <v>78</v>
      </c>
      <c r="C87" s="2">
        <v>45854.395833333343</v>
      </c>
      <c r="D87" t="s">
        <v>79</v>
      </c>
      <c r="E87">
        <v>118780.3</v>
      </c>
      <c r="F87">
        <v>0.199651</v>
      </c>
      <c r="G87">
        <v>23714.605675300001</v>
      </c>
      <c r="H87">
        <v>0.93</v>
      </c>
      <c r="I87" s="1">
        <v>0</v>
      </c>
      <c r="J87">
        <v>191.44</v>
      </c>
      <c r="K87" s="1">
        <v>0.81</v>
      </c>
      <c r="L87">
        <v>-134.13</v>
      </c>
      <c r="M87" s="1">
        <v>-0.56999999999999995</v>
      </c>
      <c r="N87">
        <v>-288.32</v>
      </c>
      <c r="O87" s="1">
        <v>-2.88</v>
      </c>
    </row>
    <row r="88" spans="1:15" ht="15.75" customHeight="1" x14ac:dyDescent="0.25">
      <c r="A88">
        <v>44</v>
      </c>
      <c r="B88" t="s">
        <v>76</v>
      </c>
      <c r="C88" s="2">
        <v>45854.677083333343</v>
      </c>
      <c r="D88" t="s">
        <v>81</v>
      </c>
      <c r="E88">
        <v>118880</v>
      </c>
      <c r="F88">
        <v>0.199652</v>
      </c>
      <c r="G88">
        <v>23714.724455600001</v>
      </c>
      <c r="H88">
        <v>0.93</v>
      </c>
      <c r="I88" s="1">
        <v>0</v>
      </c>
      <c r="J88">
        <v>191.44</v>
      </c>
      <c r="K88" s="1">
        <v>0.81</v>
      </c>
      <c r="L88">
        <v>-134.13</v>
      </c>
      <c r="M88" s="1">
        <v>-0.56999999999999995</v>
      </c>
      <c r="N88">
        <v>-277.91000000000003</v>
      </c>
      <c r="O88" s="1">
        <v>-2.78</v>
      </c>
    </row>
    <row r="89" spans="1:15" ht="15.75" customHeight="1" x14ac:dyDescent="0.25">
      <c r="A89">
        <v>44</v>
      </c>
      <c r="B89" t="s">
        <v>78</v>
      </c>
      <c r="C89" s="2">
        <v>45854.395833333343</v>
      </c>
      <c r="D89" t="s">
        <v>79</v>
      </c>
      <c r="E89">
        <v>118780.3</v>
      </c>
      <c r="F89">
        <v>0.199652</v>
      </c>
      <c r="G89">
        <v>23714.724455600001</v>
      </c>
      <c r="H89">
        <v>0.93</v>
      </c>
      <c r="I89" s="1">
        <v>0</v>
      </c>
      <c r="J89">
        <v>191.44</v>
      </c>
      <c r="K89" s="1">
        <v>0.81</v>
      </c>
      <c r="L89">
        <v>-134.13</v>
      </c>
      <c r="M89" s="1">
        <v>-0.56999999999999995</v>
      </c>
      <c r="N89">
        <v>-277.91000000000003</v>
      </c>
      <c r="O89" s="1">
        <v>-2.78</v>
      </c>
    </row>
    <row r="90" spans="1:15" ht="15.75" customHeight="1" x14ac:dyDescent="0.25">
      <c r="A90">
        <v>45</v>
      </c>
      <c r="B90" t="s">
        <v>76</v>
      </c>
      <c r="C90" s="2">
        <v>45855.114583333343</v>
      </c>
      <c r="D90" t="s">
        <v>77</v>
      </c>
      <c r="E90">
        <v>117771</v>
      </c>
      <c r="F90">
        <v>0.11966</v>
      </c>
      <c r="G90">
        <v>14292.609210000001</v>
      </c>
      <c r="H90">
        <v>-211.49</v>
      </c>
      <c r="I90" s="1">
        <v>-1.48</v>
      </c>
      <c r="J90">
        <v>72.84</v>
      </c>
      <c r="K90" s="1">
        <v>0.51</v>
      </c>
      <c r="L90">
        <v>-205.85</v>
      </c>
      <c r="M90" s="1">
        <v>-1.44</v>
      </c>
      <c r="N90">
        <v>-495.11</v>
      </c>
      <c r="O90" s="1">
        <v>-4.95</v>
      </c>
    </row>
    <row r="91" spans="1:15" ht="15.75" customHeight="1" x14ac:dyDescent="0.25">
      <c r="A91">
        <v>45</v>
      </c>
      <c r="B91" t="s">
        <v>78</v>
      </c>
      <c r="C91" s="2">
        <v>45854.677083333343</v>
      </c>
      <c r="D91" t="s">
        <v>79</v>
      </c>
      <c r="E91">
        <v>119443.5</v>
      </c>
      <c r="F91">
        <v>0.11966</v>
      </c>
      <c r="G91">
        <v>14292.609210000001</v>
      </c>
      <c r="H91">
        <v>-211.49</v>
      </c>
      <c r="I91" s="1">
        <v>-1.48</v>
      </c>
      <c r="J91">
        <v>72.84</v>
      </c>
      <c r="K91" s="1">
        <v>0.51</v>
      </c>
      <c r="L91">
        <v>-205.85</v>
      </c>
      <c r="M91" s="1">
        <v>-1.44</v>
      </c>
      <c r="N91">
        <v>-495.11</v>
      </c>
      <c r="O91" s="1">
        <v>-4.95</v>
      </c>
    </row>
    <row r="92" spans="1:15" ht="15.75" customHeight="1" x14ac:dyDescent="0.25">
      <c r="A92">
        <v>46</v>
      </c>
      <c r="B92" t="s">
        <v>76</v>
      </c>
      <c r="C92" s="2">
        <v>45855.114583333343</v>
      </c>
      <c r="D92" t="s">
        <v>77</v>
      </c>
      <c r="E92">
        <v>117771</v>
      </c>
      <c r="F92">
        <v>0.11966</v>
      </c>
      <c r="G92">
        <v>14292.609210000001</v>
      </c>
      <c r="H92">
        <v>-211.49</v>
      </c>
      <c r="I92" s="1">
        <v>-1.48</v>
      </c>
      <c r="J92">
        <v>72.84</v>
      </c>
      <c r="K92" s="1">
        <v>0.51</v>
      </c>
      <c r="L92">
        <v>-205.85</v>
      </c>
      <c r="M92" s="1">
        <v>-1.44</v>
      </c>
      <c r="N92">
        <v>-700.88</v>
      </c>
      <c r="O92" s="1">
        <v>-7.01</v>
      </c>
    </row>
    <row r="93" spans="1:15" ht="15.75" customHeight="1" x14ac:dyDescent="0.25">
      <c r="A93">
        <v>46</v>
      </c>
      <c r="B93" t="s">
        <v>78</v>
      </c>
      <c r="C93" s="2">
        <v>45854.677083333343</v>
      </c>
      <c r="D93" t="s">
        <v>79</v>
      </c>
      <c r="E93">
        <v>119443.5</v>
      </c>
      <c r="F93">
        <v>0.11966</v>
      </c>
      <c r="G93">
        <v>14292.609210000001</v>
      </c>
      <c r="H93">
        <v>-211.49</v>
      </c>
      <c r="I93" s="1">
        <v>-1.48</v>
      </c>
      <c r="J93">
        <v>72.84</v>
      </c>
      <c r="K93" s="1">
        <v>0.51</v>
      </c>
      <c r="L93">
        <v>-205.85</v>
      </c>
      <c r="M93" s="1">
        <v>-1.44</v>
      </c>
      <c r="N93">
        <v>-700.88</v>
      </c>
      <c r="O93" s="1">
        <v>-7.01</v>
      </c>
    </row>
    <row r="94" spans="1:15" ht="15.75" customHeight="1" x14ac:dyDescent="0.25">
      <c r="A94">
        <v>47</v>
      </c>
      <c r="B94" t="s">
        <v>80</v>
      </c>
      <c r="C94" s="2">
        <v>45855.802083333343</v>
      </c>
      <c r="D94" t="s">
        <v>77</v>
      </c>
      <c r="E94">
        <v>119645</v>
      </c>
      <c r="F94">
        <v>9.8076999999999998E-2</v>
      </c>
      <c r="G94">
        <v>11584.3158165</v>
      </c>
      <c r="H94">
        <v>-159.43</v>
      </c>
      <c r="I94" s="1">
        <v>-1.38</v>
      </c>
      <c r="J94">
        <v>64.19</v>
      </c>
      <c r="K94" s="1">
        <v>0.55000000000000004</v>
      </c>
      <c r="L94">
        <v>-154.74</v>
      </c>
      <c r="M94" s="1">
        <v>-1.34</v>
      </c>
      <c r="N94">
        <v>-864.95</v>
      </c>
      <c r="O94" s="1">
        <v>-8.65</v>
      </c>
    </row>
    <row r="95" spans="1:15" ht="15.75" customHeight="1" x14ac:dyDescent="0.25">
      <c r="A95">
        <v>47</v>
      </c>
      <c r="B95" t="s">
        <v>82</v>
      </c>
      <c r="C95" s="2">
        <v>45855.114583333343</v>
      </c>
      <c r="D95" t="s">
        <v>83</v>
      </c>
      <c r="E95">
        <v>118114.5</v>
      </c>
      <c r="F95">
        <v>9.8076999999999998E-2</v>
      </c>
      <c r="G95">
        <v>11584.3158165</v>
      </c>
      <c r="H95">
        <v>-159.43</v>
      </c>
      <c r="I95" s="1">
        <v>-1.38</v>
      </c>
      <c r="J95">
        <v>64.19</v>
      </c>
      <c r="K95" s="1">
        <v>0.55000000000000004</v>
      </c>
      <c r="L95">
        <v>-154.74</v>
      </c>
      <c r="M95" s="1">
        <v>-1.34</v>
      </c>
      <c r="N95">
        <v>-864.95</v>
      </c>
      <c r="O95" s="1">
        <v>-8.65</v>
      </c>
    </row>
    <row r="96" spans="1:15" ht="15.75" customHeight="1" x14ac:dyDescent="0.25">
      <c r="A96">
        <v>48</v>
      </c>
      <c r="B96" t="s">
        <v>80</v>
      </c>
      <c r="C96" s="2">
        <v>45855.802083333343</v>
      </c>
      <c r="D96" t="s">
        <v>77</v>
      </c>
      <c r="E96">
        <v>119645</v>
      </c>
      <c r="F96">
        <v>9.8076999999999998E-2</v>
      </c>
      <c r="G96">
        <v>11584.3158165</v>
      </c>
      <c r="H96">
        <v>-159.43</v>
      </c>
      <c r="I96" s="1">
        <v>-1.38</v>
      </c>
      <c r="J96">
        <v>64.19</v>
      </c>
      <c r="K96" s="1">
        <v>0.55000000000000004</v>
      </c>
      <c r="L96">
        <v>-154.74</v>
      </c>
      <c r="M96" s="1">
        <v>-1.34</v>
      </c>
      <c r="N96">
        <v>-1019.75</v>
      </c>
      <c r="O96" s="1">
        <v>-10.199999999999999</v>
      </c>
    </row>
    <row r="97" spans="1:15" ht="15.75" customHeight="1" x14ac:dyDescent="0.25">
      <c r="A97">
        <v>48</v>
      </c>
      <c r="B97" t="s">
        <v>82</v>
      </c>
      <c r="C97" s="2">
        <v>45855.114583333343</v>
      </c>
      <c r="D97" t="s">
        <v>83</v>
      </c>
      <c r="E97">
        <v>118114.5</v>
      </c>
      <c r="F97">
        <v>9.8076999999999998E-2</v>
      </c>
      <c r="G97">
        <v>11584.3158165</v>
      </c>
      <c r="H97">
        <v>-159.43</v>
      </c>
      <c r="I97" s="1">
        <v>-1.38</v>
      </c>
      <c r="J97">
        <v>64.19</v>
      </c>
      <c r="K97" s="1">
        <v>0.55000000000000004</v>
      </c>
      <c r="L97">
        <v>-154.74</v>
      </c>
      <c r="M97" s="1">
        <v>-1.34</v>
      </c>
      <c r="N97">
        <v>-1019.75</v>
      </c>
      <c r="O97" s="1">
        <v>-10.199999999999999</v>
      </c>
    </row>
    <row r="98" spans="1:15" ht="15.75" customHeight="1" x14ac:dyDescent="0.25">
      <c r="A98">
        <v>49</v>
      </c>
      <c r="B98" t="s">
        <v>76</v>
      </c>
      <c r="C98" s="2">
        <v>45856.635416666657</v>
      </c>
      <c r="D98" t="s">
        <v>77</v>
      </c>
      <c r="E98">
        <v>118142.39999999999</v>
      </c>
      <c r="F98">
        <v>0.129494</v>
      </c>
      <c r="G98">
        <v>15498.8649226</v>
      </c>
      <c r="H98">
        <v>-212.45</v>
      </c>
      <c r="I98" s="1">
        <v>-1.37</v>
      </c>
      <c r="J98">
        <v>157.43</v>
      </c>
      <c r="K98" s="1">
        <v>1.02</v>
      </c>
      <c r="L98">
        <v>-206.33</v>
      </c>
      <c r="M98" s="1">
        <v>-1.33</v>
      </c>
      <c r="N98">
        <v>-1238.4000000000001</v>
      </c>
      <c r="O98" s="1">
        <v>-12.38</v>
      </c>
    </row>
    <row r="99" spans="1:15" ht="15.75" customHeight="1" x14ac:dyDescent="0.25">
      <c r="A99">
        <v>49</v>
      </c>
      <c r="B99" t="s">
        <v>78</v>
      </c>
      <c r="C99" s="2">
        <v>45855.802083333343</v>
      </c>
      <c r="D99" t="s">
        <v>79</v>
      </c>
      <c r="E99">
        <v>119687.9</v>
      </c>
      <c r="F99">
        <v>0.129494</v>
      </c>
      <c r="G99">
        <v>15498.8649226</v>
      </c>
      <c r="H99">
        <v>-212.45</v>
      </c>
      <c r="I99" s="1">
        <v>-1.37</v>
      </c>
      <c r="J99">
        <v>157.43</v>
      </c>
      <c r="K99" s="1">
        <v>1.02</v>
      </c>
      <c r="L99">
        <v>-206.33</v>
      </c>
      <c r="M99" s="1">
        <v>-1.33</v>
      </c>
      <c r="N99">
        <v>-1238.4000000000001</v>
      </c>
      <c r="O99" s="1">
        <v>-12.38</v>
      </c>
    </row>
    <row r="100" spans="1:15" ht="15.75" customHeight="1" x14ac:dyDescent="0.25">
      <c r="A100">
        <v>50</v>
      </c>
      <c r="B100" t="s">
        <v>76</v>
      </c>
      <c r="C100" s="2">
        <v>45856.635416666657</v>
      </c>
      <c r="D100" t="s">
        <v>77</v>
      </c>
      <c r="E100">
        <v>118142.39999999999</v>
      </c>
      <c r="F100">
        <v>0.129495</v>
      </c>
      <c r="G100">
        <v>15498.9846105</v>
      </c>
      <c r="H100">
        <v>-212.45</v>
      </c>
      <c r="I100" s="1">
        <v>-1.37</v>
      </c>
      <c r="J100">
        <v>157.43</v>
      </c>
      <c r="K100" s="1">
        <v>1.02</v>
      </c>
      <c r="L100">
        <v>-206.33</v>
      </c>
      <c r="M100" s="1">
        <v>-1.33</v>
      </c>
      <c r="N100">
        <v>-1444.65</v>
      </c>
      <c r="O100" s="1">
        <v>-14.45</v>
      </c>
    </row>
    <row r="101" spans="1:15" ht="15.75" customHeight="1" x14ac:dyDescent="0.25">
      <c r="A101">
        <v>50</v>
      </c>
      <c r="B101" t="s">
        <v>78</v>
      </c>
      <c r="C101" s="2">
        <v>45855.802083333343</v>
      </c>
      <c r="D101" t="s">
        <v>79</v>
      </c>
      <c r="E101">
        <v>119687.9</v>
      </c>
      <c r="F101">
        <v>0.129495</v>
      </c>
      <c r="G101">
        <v>15498.9846105</v>
      </c>
      <c r="H101">
        <v>-212.45</v>
      </c>
      <c r="I101" s="1">
        <v>-1.37</v>
      </c>
      <c r="J101">
        <v>157.43</v>
      </c>
      <c r="K101" s="1">
        <v>1.02</v>
      </c>
      <c r="L101">
        <v>-206.33</v>
      </c>
      <c r="M101" s="1">
        <v>-1.33</v>
      </c>
      <c r="N101">
        <v>-1444.65</v>
      </c>
      <c r="O101" s="1">
        <v>-14.45</v>
      </c>
    </row>
    <row r="102" spans="1:15" ht="15.75" customHeight="1" x14ac:dyDescent="0.25">
      <c r="A102">
        <v>51</v>
      </c>
      <c r="B102" t="s">
        <v>80</v>
      </c>
      <c r="C102" s="2">
        <v>45859.34375</v>
      </c>
      <c r="D102" t="s">
        <v>77</v>
      </c>
      <c r="E102">
        <v>119531.2</v>
      </c>
      <c r="F102">
        <v>9.3779000000000001E-2</v>
      </c>
      <c r="G102">
        <v>11059.4137374</v>
      </c>
      <c r="H102">
        <v>-159.01</v>
      </c>
      <c r="I102" s="1">
        <v>-1.44</v>
      </c>
      <c r="J102">
        <v>141.91999999999999</v>
      </c>
      <c r="K102" s="1">
        <v>1.28</v>
      </c>
      <c r="L102">
        <v>-154.53</v>
      </c>
      <c r="M102" s="1">
        <v>-1.4</v>
      </c>
      <c r="N102">
        <v>-1608.09</v>
      </c>
      <c r="O102" s="1">
        <v>-16.079999999999998</v>
      </c>
    </row>
    <row r="103" spans="1:15" ht="15.75" customHeight="1" x14ac:dyDescent="0.25">
      <c r="A103">
        <v>51</v>
      </c>
      <c r="B103" t="s">
        <v>82</v>
      </c>
      <c r="C103" s="2">
        <v>45856.635416666657</v>
      </c>
      <c r="D103" t="s">
        <v>83</v>
      </c>
      <c r="E103">
        <v>117930.6</v>
      </c>
      <c r="F103">
        <v>9.3779000000000001E-2</v>
      </c>
      <c r="G103">
        <v>11059.4137374</v>
      </c>
      <c r="H103">
        <v>-159.01</v>
      </c>
      <c r="I103" s="1">
        <v>-1.44</v>
      </c>
      <c r="J103">
        <v>141.91999999999999</v>
      </c>
      <c r="K103" s="1">
        <v>1.28</v>
      </c>
      <c r="L103">
        <v>-154.53</v>
      </c>
      <c r="M103" s="1">
        <v>-1.4</v>
      </c>
      <c r="N103">
        <v>-1608.09</v>
      </c>
      <c r="O103" s="1">
        <v>-16.079999999999998</v>
      </c>
    </row>
    <row r="104" spans="1:15" ht="15.75" customHeight="1" x14ac:dyDescent="0.25">
      <c r="A104">
        <v>52</v>
      </c>
      <c r="B104" t="s">
        <v>80</v>
      </c>
      <c r="C104" s="2">
        <v>45859.34375</v>
      </c>
      <c r="D104" t="s">
        <v>77</v>
      </c>
      <c r="E104">
        <v>119531.2</v>
      </c>
      <c r="F104">
        <v>9.3779000000000001E-2</v>
      </c>
      <c r="G104">
        <v>11059.4137374</v>
      </c>
      <c r="H104">
        <v>-159.01</v>
      </c>
      <c r="I104" s="1">
        <v>-1.44</v>
      </c>
      <c r="J104">
        <v>141.91999999999999</v>
      </c>
      <c r="K104" s="1">
        <v>1.28</v>
      </c>
      <c r="L104">
        <v>-154.53</v>
      </c>
      <c r="M104" s="1">
        <v>-1.4</v>
      </c>
      <c r="N104">
        <v>-1762.67</v>
      </c>
      <c r="O104" s="1">
        <v>-17.63</v>
      </c>
    </row>
    <row r="105" spans="1:15" ht="15.75" customHeight="1" x14ac:dyDescent="0.25">
      <c r="A105">
        <v>52</v>
      </c>
      <c r="B105" t="s">
        <v>82</v>
      </c>
      <c r="C105" s="2">
        <v>45856.635416666657</v>
      </c>
      <c r="D105" t="s">
        <v>83</v>
      </c>
      <c r="E105">
        <v>117930.6</v>
      </c>
      <c r="F105">
        <v>9.3779000000000001E-2</v>
      </c>
      <c r="G105">
        <v>11059.4137374</v>
      </c>
      <c r="H105">
        <v>-159.01</v>
      </c>
      <c r="I105" s="1">
        <v>-1.44</v>
      </c>
      <c r="J105">
        <v>141.91999999999999</v>
      </c>
      <c r="K105" s="1">
        <v>1.28</v>
      </c>
      <c r="L105">
        <v>-154.53</v>
      </c>
      <c r="M105" s="1">
        <v>-1.4</v>
      </c>
      <c r="N105">
        <v>-1762.67</v>
      </c>
      <c r="O105" s="1">
        <v>-17.63</v>
      </c>
    </row>
    <row r="106" spans="1:15" ht="15.75" customHeight="1" x14ac:dyDescent="0.25">
      <c r="A106">
        <v>53</v>
      </c>
      <c r="B106" t="s">
        <v>76</v>
      </c>
      <c r="C106" s="2">
        <v>45859.479166666657</v>
      </c>
      <c r="D106" t="s">
        <v>77</v>
      </c>
      <c r="E106">
        <v>118400.1</v>
      </c>
      <c r="F106">
        <v>0.16597100000000001</v>
      </c>
      <c r="G106">
        <v>19851.1606202</v>
      </c>
      <c r="H106">
        <v>-215.98</v>
      </c>
      <c r="I106" s="1">
        <v>-1.0900000000000001</v>
      </c>
      <c r="J106">
        <v>11.05</v>
      </c>
      <c r="K106" s="1">
        <v>0.06</v>
      </c>
      <c r="L106">
        <v>-208.12</v>
      </c>
      <c r="M106" s="1">
        <v>-1.05</v>
      </c>
      <c r="N106">
        <v>-1986.59</v>
      </c>
      <c r="O106" s="1">
        <v>-19.87</v>
      </c>
    </row>
    <row r="107" spans="1:15" ht="15.75" customHeight="1" x14ac:dyDescent="0.25">
      <c r="A107">
        <v>53</v>
      </c>
      <c r="B107" t="s">
        <v>78</v>
      </c>
      <c r="C107" s="2">
        <v>45859.34375</v>
      </c>
      <c r="D107" t="s">
        <v>79</v>
      </c>
      <c r="E107">
        <v>119606.2</v>
      </c>
      <c r="F107">
        <v>0.16597100000000001</v>
      </c>
      <c r="G107">
        <v>19851.1606202</v>
      </c>
      <c r="H107">
        <v>-215.98</v>
      </c>
      <c r="I107" s="1">
        <v>-1.0900000000000001</v>
      </c>
      <c r="J107">
        <v>11.05</v>
      </c>
      <c r="K107" s="1">
        <v>0.06</v>
      </c>
      <c r="L107">
        <v>-208.12</v>
      </c>
      <c r="M107" s="1">
        <v>-1.05</v>
      </c>
      <c r="N107">
        <v>-1986.59</v>
      </c>
      <c r="O107" s="1">
        <v>-19.87</v>
      </c>
    </row>
    <row r="108" spans="1:15" ht="15.75" customHeight="1" x14ac:dyDescent="0.25">
      <c r="A108">
        <v>54</v>
      </c>
      <c r="B108" t="s">
        <v>76</v>
      </c>
      <c r="C108" s="2">
        <v>45859.479166666657</v>
      </c>
      <c r="D108" t="s">
        <v>77</v>
      </c>
      <c r="E108">
        <v>118400.1</v>
      </c>
      <c r="F108">
        <v>0.16597100000000001</v>
      </c>
      <c r="G108">
        <v>19851.1606202</v>
      </c>
      <c r="H108">
        <v>-215.98</v>
      </c>
      <c r="I108" s="1">
        <v>-1.0900000000000001</v>
      </c>
      <c r="J108">
        <v>11.05</v>
      </c>
      <c r="K108" s="1">
        <v>0.06</v>
      </c>
      <c r="L108">
        <v>-208.12</v>
      </c>
      <c r="M108" s="1">
        <v>-1.05</v>
      </c>
      <c r="N108">
        <v>-2194.63</v>
      </c>
      <c r="O108" s="1">
        <v>-21.95</v>
      </c>
    </row>
    <row r="109" spans="1:15" ht="15.75" customHeight="1" x14ac:dyDescent="0.25">
      <c r="A109">
        <v>54</v>
      </c>
      <c r="B109" t="s">
        <v>78</v>
      </c>
      <c r="C109" s="2">
        <v>45859.34375</v>
      </c>
      <c r="D109" t="s">
        <v>79</v>
      </c>
      <c r="E109">
        <v>119606.2</v>
      </c>
      <c r="F109">
        <v>0.16597100000000001</v>
      </c>
      <c r="G109">
        <v>19851.1606202</v>
      </c>
      <c r="H109">
        <v>-215.98</v>
      </c>
      <c r="I109" s="1">
        <v>-1.0900000000000001</v>
      </c>
      <c r="J109">
        <v>11.05</v>
      </c>
      <c r="K109" s="1">
        <v>0.06</v>
      </c>
      <c r="L109">
        <v>-208.12</v>
      </c>
      <c r="M109" s="1">
        <v>-1.05</v>
      </c>
      <c r="N109">
        <v>-2194.63</v>
      </c>
      <c r="O109" s="1">
        <v>-21.95</v>
      </c>
    </row>
    <row r="110" spans="1:15" ht="15.75" customHeight="1" x14ac:dyDescent="0.25">
      <c r="A110">
        <v>55</v>
      </c>
      <c r="B110" t="s">
        <v>76</v>
      </c>
      <c r="C110" s="2">
        <v>45859.770833333343</v>
      </c>
      <c r="D110" t="s">
        <v>77</v>
      </c>
      <c r="E110">
        <v>117370.2</v>
      </c>
      <c r="F110">
        <v>0.179011</v>
      </c>
      <c r="G110">
        <v>21210.7448735</v>
      </c>
      <c r="H110">
        <v>-217.08</v>
      </c>
      <c r="I110" s="1">
        <v>-1.02</v>
      </c>
      <c r="J110">
        <v>118.88</v>
      </c>
      <c r="K110" s="1">
        <v>0.56000000000000005</v>
      </c>
      <c r="L110">
        <v>-208.67</v>
      </c>
      <c r="M110" s="1">
        <v>-0.98</v>
      </c>
      <c r="N110">
        <v>-2420.19</v>
      </c>
      <c r="O110" s="1">
        <v>-24.2</v>
      </c>
    </row>
    <row r="111" spans="1:15" ht="15.75" customHeight="1" x14ac:dyDescent="0.25">
      <c r="A111">
        <v>55</v>
      </c>
      <c r="B111" t="s">
        <v>78</v>
      </c>
      <c r="C111" s="2">
        <v>45859.479166666657</v>
      </c>
      <c r="D111" t="s">
        <v>79</v>
      </c>
      <c r="E111">
        <v>118488.5</v>
      </c>
      <c r="F111">
        <v>0.179011</v>
      </c>
      <c r="G111">
        <v>21210.7448735</v>
      </c>
      <c r="H111">
        <v>-217.08</v>
      </c>
      <c r="I111" s="1">
        <v>-1.02</v>
      </c>
      <c r="J111">
        <v>118.88</v>
      </c>
      <c r="K111" s="1">
        <v>0.56000000000000005</v>
      </c>
      <c r="L111">
        <v>-208.67</v>
      </c>
      <c r="M111" s="1">
        <v>-0.98</v>
      </c>
      <c r="N111">
        <v>-2420.19</v>
      </c>
      <c r="O111" s="1">
        <v>-24.2</v>
      </c>
    </row>
    <row r="112" spans="1:15" ht="15.75" customHeight="1" x14ac:dyDescent="0.25">
      <c r="A112">
        <v>56</v>
      </c>
      <c r="B112" t="s">
        <v>76</v>
      </c>
      <c r="C112" s="2">
        <v>45859.770833333343</v>
      </c>
      <c r="D112" t="s">
        <v>77</v>
      </c>
      <c r="E112">
        <v>117370.2</v>
      </c>
      <c r="F112">
        <v>0.179011</v>
      </c>
      <c r="G112">
        <v>21210.7448735</v>
      </c>
      <c r="H112">
        <v>-217.08</v>
      </c>
      <c r="I112" s="1">
        <v>-1.02</v>
      </c>
      <c r="J112">
        <v>118.88</v>
      </c>
      <c r="K112" s="1">
        <v>0.56000000000000005</v>
      </c>
      <c r="L112">
        <v>-208.67</v>
      </c>
      <c r="M112" s="1">
        <v>-0.98</v>
      </c>
      <c r="N112">
        <v>-2628.78</v>
      </c>
      <c r="O112" s="1">
        <v>-26.29</v>
      </c>
    </row>
    <row r="113" spans="1:15" ht="15.75" customHeight="1" x14ac:dyDescent="0.25">
      <c r="A113">
        <v>56</v>
      </c>
      <c r="B113" t="s">
        <v>78</v>
      </c>
      <c r="C113" s="2">
        <v>45859.479166666657</v>
      </c>
      <c r="D113" t="s">
        <v>79</v>
      </c>
      <c r="E113">
        <v>118488.5</v>
      </c>
      <c r="F113">
        <v>0.179011</v>
      </c>
      <c r="G113">
        <v>21210.7448735</v>
      </c>
      <c r="H113">
        <v>-217.08</v>
      </c>
      <c r="I113" s="1">
        <v>-1.02</v>
      </c>
      <c r="J113">
        <v>118.88</v>
      </c>
      <c r="K113" s="1">
        <v>0.56000000000000005</v>
      </c>
      <c r="L113">
        <v>-208.67</v>
      </c>
      <c r="M113" s="1">
        <v>-0.98</v>
      </c>
      <c r="N113">
        <v>-2628.78</v>
      </c>
      <c r="O113" s="1">
        <v>-26.29</v>
      </c>
    </row>
    <row r="114" spans="1:15" ht="15.75" customHeight="1" x14ac:dyDescent="0.25">
      <c r="A114">
        <v>57</v>
      </c>
      <c r="B114" t="s">
        <v>80</v>
      </c>
      <c r="C114" s="2">
        <v>45860.489583333343</v>
      </c>
      <c r="D114" t="s">
        <v>77</v>
      </c>
      <c r="E114">
        <v>118884.6</v>
      </c>
      <c r="F114">
        <v>9.9402000000000004E-2</v>
      </c>
      <c r="G114">
        <v>11667.260049</v>
      </c>
      <c r="H114">
        <v>-159.5</v>
      </c>
      <c r="I114" s="1">
        <v>-1.37</v>
      </c>
      <c r="J114">
        <v>145.38</v>
      </c>
      <c r="K114" s="1">
        <v>1.25</v>
      </c>
      <c r="L114">
        <v>-154.77000000000001</v>
      </c>
      <c r="M114" s="1">
        <v>-1.33</v>
      </c>
      <c r="N114">
        <v>-2792.95</v>
      </c>
      <c r="O114" s="1">
        <v>-27.93</v>
      </c>
    </row>
    <row r="115" spans="1:15" ht="15.75" customHeight="1" x14ac:dyDescent="0.25">
      <c r="A115">
        <v>57</v>
      </c>
      <c r="B115" t="s">
        <v>82</v>
      </c>
      <c r="C115" s="2">
        <v>45859.770833333343</v>
      </c>
      <c r="D115" t="s">
        <v>83</v>
      </c>
      <c r="E115">
        <v>117374.5</v>
      </c>
      <c r="F115">
        <v>9.9402000000000004E-2</v>
      </c>
      <c r="G115">
        <v>11667.260049</v>
      </c>
      <c r="H115">
        <v>-159.5</v>
      </c>
      <c r="I115" s="1">
        <v>-1.37</v>
      </c>
      <c r="J115">
        <v>145.38</v>
      </c>
      <c r="K115" s="1">
        <v>1.25</v>
      </c>
      <c r="L115">
        <v>-154.77000000000001</v>
      </c>
      <c r="M115" s="1">
        <v>-1.33</v>
      </c>
      <c r="N115">
        <v>-2792.95</v>
      </c>
      <c r="O115" s="1">
        <v>-27.93</v>
      </c>
    </row>
    <row r="116" spans="1:15" ht="15.75" customHeight="1" x14ac:dyDescent="0.25">
      <c r="A116">
        <v>58</v>
      </c>
      <c r="B116" t="s">
        <v>80</v>
      </c>
      <c r="C116" s="2">
        <v>45860.489583333343</v>
      </c>
      <c r="D116" t="s">
        <v>77</v>
      </c>
      <c r="E116">
        <v>118884.6</v>
      </c>
      <c r="F116">
        <v>9.9402000000000004E-2</v>
      </c>
      <c r="G116">
        <v>11667.260049</v>
      </c>
      <c r="H116">
        <v>-159.5</v>
      </c>
      <c r="I116" s="1">
        <v>-1.37</v>
      </c>
      <c r="J116">
        <v>145.38</v>
      </c>
      <c r="K116" s="1">
        <v>1.25</v>
      </c>
      <c r="L116">
        <v>-154.77000000000001</v>
      </c>
      <c r="M116" s="1">
        <v>-1.33</v>
      </c>
      <c r="N116">
        <v>-2947.79</v>
      </c>
      <c r="O116" s="1">
        <v>-29.48</v>
      </c>
    </row>
    <row r="117" spans="1:15" ht="15.75" customHeight="1" x14ac:dyDescent="0.25">
      <c r="A117">
        <v>58</v>
      </c>
      <c r="B117" t="s">
        <v>82</v>
      </c>
      <c r="C117" s="2">
        <v>45859.770833333343</v>
      </c>
      <c r="D117" t="s">
        <v>83</v>
      </c>
      <c r="E117">
        <v>117374.5</v>
      </c>
      <c r="F117">
        <v>9.9402000000000004E-2</v>
      </c>
      <c r="G117">
        <v>11667.260049</v>
      </c>
      <c r="H117">
        <v>-159.5</v>
      </c>
      <c r="I117" s="1">
        <v>-1.37</v>
      </c>
      <c r="J117">
        <v>145.38</v>
      </c>
      <c r="K117" s="1">
        <v>1.25</v>
      </c>
      <c r="L117">
        <v>-154.77000000000001</v>
      </c>
      <c r="M117" s="1">
        <v>-1.33</v>
      </c>
      <c r="N117">
        <v>-2947.79</v>
      </c>
      <c r="O117" s="1">
        <v>-29.48</v>
      </c>
    </row>
    <row r="118" spans="1:15" ht="15.75" customHeight="1" x14ac:dyDescent="0.25">
      <c r="A118">
        <v>59</v>
      </c>
      <c r="B118" t="s">
        <v>76</v>
      </c>
      <c r="C118" s="2">
        <v>45860.625</v>
      </c>
      <c r="D118" t="s">
        <v>77</v>
      </c>
      <c r="E118">
        <v>117554.6</v>
      </c>
      <c r="F118">
        <v>0.14383499999999999</v>
      </c>
      <c r="G118">
        <v>17108.612293499998</v>
      </c>
      <c r="H118">
        <v>-213.75</v>
      </c>
      <c r="I118" s="1">
        <v>-1.25</v>
      </c>
      <c r="J118">
        <v>84.66</v>
      </c>
      <c r="K118" s="1">
        <v>0.49</v>
      </c>
      <c r="L118">
        <v>-206.99</v>
      </c>
      <c r="M118" s="1">
        <v>-1.21</v>
      </c>
      <c r="N118">
        <v>-3168.38</v>
      </c>
      <c r="O118" s="1">
        <v>-31.68</v>
      </c>
    </row>
    <row r="119" spans="1:15" ht="15.75" customHeight="1" x14ac:dyDescent="0.25">
      <c r="A119">
        <v>59</v>
      </c>
      <c r="B119" t="s">
        <v>78</v>
      </c>
      <c r="C119" s="2">
        <v>45860.489583333343</v>
      </c>
      <c r="D119" t="s">
        <v>79</v>
      </c>
      <c r="E119">
        <v>118946.1</v>
      </c>
      <c r="F119">
        <v>0.14383499999999999</v>
      </c>
      <c r="G119">
        <v>17108.612293499998</v>
      </c>
      <c r="H119">
        <v>-213.75</v>
      </c>
      <c r="I119" s="1">
        <v>-1.25</v>
      </c>
      <c r="J119">
        <v>84.66</v>
      </c>
      <c r="K119" s="1">
        <v>0.49</v>
      </c>
      <c r="L119">
        <v>-206.99</v>
      </c>
      <c r="M119" s="1">
        <v>-1.21</v>
      </c>
      <c r="N119">
        <v>-3168.38</v>
      </c>
      <c r="O119" s="1">
        <v>-31.68</v>
      </c>
    </row>
    <row r="120" spans="1:15" ht="15.75" customHeight="1" x14ac:dyDescent="0.25">
      <c r="A120">
        <v>60</v>
      </c>
      <c r="B120" t="s">
        <v>76</v>
      </c>
      <c r="C120" s="2">
        <v>45860.625</v>
      </c>
      <c r="D120" t="s">
        <v>77</v>
      </c>
      <c r="E120">
        <v>117554.6</v>
      </c>
      <c r="F120">
        <v>0.14383599999999999</v>
      </c>
      <c r="G120">
        <v>17108.731239600002</v>
      </c>
      <c r="H120">
        <v>-213.75</v>
      </c>
      <c r="I120" s="1">
        <v>-1.25</v>
      </c>
      <c r="J120">
        <v>84.66</v>
      </c>
      <c r="K120" s="1">
        <v>0.49</v>
      </c>
      <c r="L120">
        <v>-206.99</v>
      </c>
      <c r="M120" s="1">
        <v>-1.21</v>
      </c>
      <c r="N120">
        <v>-3375.29</v>
      </c>
      <c r="O120" s="1">
        <v>-33.75</v>
      </c>
    </row>
    <row r="121" spans="1:15" ht="15.75" customHeight="1" x14ac:dyDescent="0.25">
      <c r="A121">
        <v>60</v>
      </c>
      <c r="B121" t="s">
        <v>78</v>
      </c>
      <c r="C121" s="2">
        <v>45860.489583333343</v>
      </c>
      <c r="D121" t="s">
        <v>79</v>
      </c>
      <c r="E121">
        <v>118946.1</v>
      </c>
      <c r="F121">
        <v>0.14383599999999999</v>
      </c>
      <c r="G121">
        <v>17108.731239600002</v>
      </c>
      <c r="H121">
        <v>-213.75</v>
      </c>
      <c r="I121" s="1">
        <v>-1.25</v>
      </c>
      <c r="J121">
        <v>84.66</v>
      </c>
      <c r="K121" s="1">
        <v>0.49</v>
      </c>
      <c r="L121">
        <v>-206.99</v>
      </c>
      <c r="M121" s="1">
        <v>-1.21</v>
      </c>
      <c r="N121">
        <v>-3375.29</v>
      </c>
      <c r="O121" s="1">
        <v>-33.75</v>
      </c>
    </row>
    <row r="122" spans="1:15" ht="15.75" customHeight="1" x14ac:dyDescent="0.25">
      <c r="A122">
        <v>61</v>
      </c>
      <c r="B122" t="s">
        <v>80</v>
      </c>
      <c r="C122" s="2">
        <v>45860.822916666657</v>
      </c>
      <c r="D122" t="s">
        <v>77</v>
      </c>
      <c r="E122">
        <v>120164.4</v>
      </c>
      <c r="F122">
        <v>8.4588999999999998E-2</v>
      </c>
      <c r="G122">
        <v>10014.5001689</v>
      </c>
      <c r="H122">
        <v>-158.16</v>
      </c>
      <c r="I122" s="1">
        <v>-1.58</v>
      </c>
      <c r="J122">
        <v>18.739999999999998</v>
      </c>
      <c r="K122" s="1">
        <v>0.19</v>
      </c>
      <c r="L122">
        <v>-154.09</v>
      </c>
      <c r="M122" s="1">
        <v>-1.54</v>
      </c>
      <c r="N122">
        <v>-3537.46</v>
      </c>
      <c r="O122" s="1">
        <v>-35.369999999999997</v>
      </c>
    </row>
    <row r="123" spans="1:15" ht="15.75" customHeight="1" x14ac:dyDescent="0.25">
      <c r="A123">
        <v>61</v>
      </c>
      <c r="B123" t="s">
        <v>82</v>
      </c>
      <c r="C123" s="2">
        <v>45860.625</v>
      </c>
      <c r="D123" t="s">
        <v>83</v>
      </c>
      <c r="E123">
        <v>118390.1</v>
      </c>
      <c r="F123">
        <v>8.4588999999999998E-2</v>
      </c>
      <c r="G123">
        <v>10014.5001689</v>
      </c>
      <c r="H123">
        <v>-158.16</v>
      </c>
      <c r="I123" s="1">
        <v>-1.58</v>
      </c>
      <c r="J123">
        <v>18.739999999999998</v>
      </c>
      <c r="K123" s="1">
        <v>0.19</v>
      </c>
      <c r="L123">
        <v>-154.09</v>
      </c>
      <c r="M123" s="1">
        <v>-1.54</v>
      </c>
      <c r="N123">
        <v>-3537.46</v>
      </c>
      <c r="O123" s="1">
        <v>-35.369999999999997</v>
      </c>
    </row>
    <row r="124" spans="1:15" ht="15.75" customHeight="1" x14ac:dyDescent="0.25">
      <c r="A124">
        <v>62</v>
      </c>
      <c r="B124" t="s">
        <v>80</v>
      </c>
      <c r="C124" s="2">
        <v>45860.822916666657</v>
      </c>
      <c r="D124" t="s">
        <v>77</v>
      </c>
      <c r="E124">
        <v>120164.4</v>
      </c>
      <c r="F124">
        <v>8.4589999999999999E-2</v>
      </c>
      <c r="G124">
        <v>10014.618559</v>
      </c>
      <c r="H124">
        <v>-158.16</v>
      </c>
      <c r="I124" s="1">
        <v>-1.58</v>
      </c>
      <c r="J124">
        <v>18.739999999999998</v>
      </c>
      <c r="K124" s="1">
        <v>0.19</v>
      </c>
      <c r="L124">
        <v>-154.09</v>
      </c>
      <c r="M124" s="1">
        <v>-1.54</v>
      </c>
      <c r="N124">
        <v>-3691.61</v>
      </c>
      <c r="O124" s="1">
        <v>-36.92</v>
      </c>
    </row>
    <row r="125" spans="1:15" ht="15.75" customHeight="1" x14ac:dyDescent="0.25">
      <c r="A125">
        <v>62</v>
      </c>
      <c r="B125" t="s">
        <v>82</v>
      </c>
      <c r="C125" s="2">
        <v>45860.625</v>
      </c>
      <c r="D125" t="s">
        <v>83</v>
      </c>
      <c r="E125">
        <v>118390.1</v>
      </c>
      <c r="F125">
        <v>8.4589999999999999E-2</v>
      </c>
      <c r="G125">
        <v>10014.618559</v>
      </c>
      <c r="H125">
        <v>-158.16</v>
      </c>
      <c r="I125" s="1">
        <v>-1.58</v>
      </c>
      <c r="J125">
        <v>18.739999999999998</v>
      </c>
      <c r="K125" s="1">
        <v>0.19</v>
      </c>
      <c r="L125">
        <v>-154.09</v>
      </c>
      <c r="M125" s="1">
        <v>-1.54</v>
      </c>
      <c r="N125">
        <v>-3691.61</v>
      </c>
      <c r="O125" s="1">
        <v>-36.92</v>
      </c>
    </row>
    <row r="126" spans="1:15" ht="15.75" customHeight="1" x14ac:dyDescent="0.25">
      <c r="A126">
        <v>63</v>
      </c>
      <c r="B126" t="s">
        <v>76</v>
      </c>
      <c r="C126" s="2">
        <v>45861.427083333343</v>
      </c>
      <c r="D126" t="s">
        <v>77</v>
      </c>
      <c r="E126">
        <v>117984.4</v>
      </c>
      <c r="F126">
        <v>0.112168</v>
      </c>
      <c r="G126">
        <v>13434.193107999999</v>
      </c>
      <c r="H126">
        <v>-210.79</v>
      </c>
      <c r="I126" s="1">
        <v>-1.57</v>
      </c>
      <c r="J126">
        <v>50.3</v>
      </c>
      <c r="K126" s="1">
        <v>0.37</v>
      </c>
      <c r="L126">
        <v>-205.49</v>
      </c>
      <c r="M126" s="1">
        <v>-1.53</v>
      </c>
      <c r="N126">
        <v>-3907.77</v>
      </c>
      <c r="O126" s="1">
        <v>-39.08</v>
      </c>
    </row>
    <row r="127" spans="1:15" ht="15.75" customHeight="1" x14ac:dyDescent="0.25">
      <c r="A127">
        <v>63</v>
      </c>
      <c r="B127" t="s">
        <v>78</v>
      </c>
      <c r="C127" s="2">
        <v>45860.822916666657</v>
      </c>
      <c r="D127" t="s">
        <v>79</v>
      </c>
      <c r="E127">
        <v>119768.5</v>
      </c>
      <c r="F127">
        <v>0.112168</v>
      </c>
      <c r="G127">
        <v>13434.193107999999</v>
      </c>
      <c r="H127">
        <v>-210.79</v>
      </c>
      <c r="I127" s="1">
        <v>-1.57</v>
      </c>
      <c r="J127">
        <v>50.3</v>
      </c>
      <c r="K127" s="1">
        <v>0.37</v>
      </c>
      <c r="L127">
        <v>-205.49</v>
      </c>
      <c r="M127" s="1">
        <v>-1.53</v>
      </c>
      <c r="N127">
        <v>-3907.77</v>
      </c>
      <c r="O127" s="1">
        <v>-39.08</v>
      </c>
    </row>
    <row r="128" spans="1:15" ht="15.75" customHeight="1" x14ac:dyDescent="0.25">
      <c r="A128">
        <v>64</v>
      </c>
      <c r="B128" t="s">
        <v>76</v>
      </c>
      <c r="C128" s="2">
        <v>45861.427083333343</v>
      </c>
      <c r="D128" t="s">
        <v>77</v>
      </c>
      <c r="E128">
        <v>117984.4</v>
      </c>
      <c r="F128">
        <v>0.112168</v>
      </c>
      <c r="G128">
        <v>13434.193107999999</v>
      </c>
      <c r="H128">
        <v>-210.79</v>
      </c>
      <c r="I128" s="1">
        <v>-1.57</v>
      </c>
      <c r="J128">
        <v>50.3</v>
      </c>
      <c r="K128" s="1">
        <v>0.37</v>
      </c>
      <c r="L128">
        <v>-205.49</v>
      </c>
      <c r="M128" s="1">
        <v>-1.53</v>
      </c>
      <c r="N128">
        <v>-4113.18</v>
      </c>
      <c r="O128" s="1">
        <v>-41.13</v>
      </c>
    </row>
    <row r="129" spans="1:15" ht="15.75" customHeight="1" x14ac:dyDescent="0.25">
      <c r="A129">
        <v>64</v>
      </c>
      <c r="B129" t="s">
        <v>78</v>
      </c>
      <c r="C129" s="2">
        <v>45860.822916666657</v>
      </c>
      <c r="D129" t="s">
        <v>79</v>
      </c>
      <c r="E129">
        <v>119768.5</v>
      </c>
      <c r="F129">
        <v>0.112168</v>
      </c>
      <c r="G129">
        <v>13434.193107999999</v>
      </c>
      <c r="H129">
        <v>-210.79</v>
      </c>
      <c r="I129" s="1">
        <v>-1.57</v>
      </c>
      <c r="J129">
        <v>50.3</v>
      </c>
      <c r="K129" s="1">
        <v>0.37</v>
      </c>
      <c r="L129">
        <v>-205.49</v>
      </c>
      <c r="M129" s="1">
        <v>-1.53</v>
      </c>
      <c r="N129">
        <v>-4113.18</v>
      </c>
      <c r="O129" s="1">
        <v>-41.13</v>
      </c>
    </row>
    <row r="130" spans="1:15" ht="15.75" customHeight="1" x14ac:dyDescent="0.25">
      <c r="A130">
        <v>65</v>
      </c>
      <c r="B130" t="s">
        <v>80</v>
      </c>
      <c r="C130" s="2">
        <v>45862.052083333343</v>
      </c>
      <c r="D130" t="s">
        <v>77</v>
      </c>
      <c r="E130">
        <v>118871.7</v>
      </c>
      <c r="F130">
        <v>0.162499</v>
      </c>
      <c r="G130">
        <v>19166.367052400001</v>
      </c>
      <c r="H130">
        <v>-165.56</v>
      </c>
      <c r="I130" s="1">
        <v>-0.86</v>
      </c>
      <c r="J130">
        <v>105.69</v>
      </c>
      <c r="K130" s="1">
        <v>0.55000000000000004</v>
      </c>
      <c r="L130">
        <v>-157.83000000000001</v>
      </c>
      <c r="M130" s="1">
        <v>-0.82</v>
      </c>
      <c r="N130">
        <v>-4286.41</v>
      </c>
      <c r="O130" s="1">
        <v>-42.86</v>
      </c>
    </row>
    <row r="131" spans="1:15" ht="15.75" customHeight="1" x14ac:dyDescent="0.25">
      <c r="A131">
        <v>65</v>
      </c>
      <c r="B131" t="s">
        <v>82</v>
      </c>
      <c r="C131" s="2">
        <v>45861.427083333343</v>
      </c>
      <c r="D131" t="s">
        <v>83</v>
      </c>
      <c r="E131">
        <v>117947.6</v>
      </c>
      <c r="F131">
        <v>0.162499</v>
      </c>
      <c r="G131">
        <v>19166.367052400001</v>
      </c>
      <c r="H131">
        <v>-165.56</v>
      </c>
      <c r="I131" s="1">
        <v>-0.86</v>
      </c>
      <c r="J131">
        <v>105.69</v>
      </c>
      <c r="K131" s="1">
        <v>0.55000000000000004</v>
      </c>
      <c r="L131">
        <v>-157.83000000000001</v>
      </c>
      <c r="M131" s="1">
        <v>-0.82</v>
      </c>
      <c r="N131">
        <v>-4286.41</v>
      </c>
      <c r="O131" s="1">
        <v>-42.86</v>
      </c>
    </row>
    <row r="132" spans="1:15" ht="15.75" customHeight="1" x14ac:dyDescent="0.25">
      <c r="A132">
        <v>66</v>
      </c>
      <c r="B132" t="s">
        <v>80</v>
      </c>
      <c r="C132" s="2">
        <v>45862.052083333343</v>
      </c>
      <c r="D132" t="s">
        <v>77</v>
      </c>
      <c r="E132">
        <v>118871.7</v>
      </c>
      <c r="F132">
        <v>0.162499</v>
      </c>
      <c r="G132">
        <v>19166.367052400001</v>
      </c>
      <c r="H132">
        <v>-165.56</v>
      </c>
      <c r="I132" s="1">
        <v>-0.86</v>
      </c>
      <c r="J132">
        <v>105.69</v>
      </c>
      <c r="K132" s="1">
        <v>0.55000000000000004</v>
      </c>
      <c r="L132">
        <v>-157.83000000000001</v>
      </c>
      <c r="M132" s="1">
        <v>-0.82</v>
      </c>
      <c r="N132">
        <v>-4444.3</v>
      </c>
      <c r="O132" s="1">
        <v>-44.44</v>
      </c>
    </row>
    <row r="133" spans="1:15" ht="15.75" customHeight="1" x14ac:dyDescent="0.25">
      <c r="A133">
        <v>66</v>
      </c>
      <c r="B133" t="s">
        <v>82</v>
      </c>
      <c r="C133" s="2">
        <v>45861.427083333343</v>
      </c>
      <c r="D133" t="s">
        <v>83</v>
      </c>
      <c r="E133">
        <v>117947.6</v>
      </c>
      <c r="F133">
        <v>0.162499</v>
      </c>
      <c r="G133">
        <v>19166.367052400001</v>
      </c>
      <c r="H133">
        <v>-165.56</v>
      </c>
      <c r="I133" s="1">
        <v>-0.86</v>
      </c>
      <c r="J133">
        <v>105.69</v>
      </c>
      <c r="K133" s="1">
        <v>0.55000000000000004</v>
      </c>
      <c r="L133">
        <v>-157.83000000000001</v>
      </c>
      <c r="M133" s="1">
        <v>-0.82</v>
      </c>
      <c r="N133">
        <v>-4444.3</v>
      </c>
      <c r="O133" s="1">
        <v>-44.44</v>
      </c>
    </row>
    <row r="134" spans="1:15" ht="15.75" customHeight="1" x14ac:dyDescent="0.25">
      <c r="A134">
        <v>67</v>
      </c>
      <c r="B134" t="s">
        <v>76</v>
      </c>
      <c r="C134" s="2">
        <v>45862.25</v>
      </c>
      <c r="D134" t="s">
        <v>77</v>
      </c>
      <c r="E134">
        <v>117732.4</v>
      </c>
      <c r="F134">
        <v>0.158912</v>
      </c>
      <c r="G134">
        <v>18909.256703999999</v>
      </c>
      <c r="H134">
        <v>-215.21</v>
      </c>
      <c r="I134" s="1">
        <v>-1.1399999999999999</v>
      </c>
      <c r="J134">
        <v>35.880000000000003</v>
      </c>
      <c r="K134" s="1">
        <v>0.19</v>
      </c>
      <c r="L134">
        <v>-207.73</v>
      </c>
      <c r="M134" s="1">
        <v>-1.1000000000000001</v>
      </c>
      <c r="N134">
        <v>-4667.08</v>
      </c>
      <c r="O134" s="1">
        <v>-46.67</v>
      </c>
    </row>
    <row r="135" spans="1:15" ht="15.75" customHeight="1" x14ac:dyDescent="0.25">
      <c r="A135">
        <v>67</v>
      </c>
      <c r="B135" t="s">
        <v>78</v>
      </c>
      <c r="C135" s="2">
        <v>45862.052083333343</v>
      </c>
      <c r="D135" t="s">
        <v>79</v>
      </c>
      <c r="E135">
        <v>118992</v>
      </c>
      <c r="F135">
        <v>0.158912</v>
      </c>
      <c r="G135">
        <v>18909.256703999999</v>
      </c>
      <c r="H135">
        <v>-215.21</v>
      </c>
      <c r="I135" s="1">
        <v>-1.1399999999999999</v>
      </c>
      <c r="J135">
        <v>35.880000000000003</v>
      </c>
      <c r="K135" s="1">
        <v>0.19</v>
      </c>
      <c r="L135">
        <v>-207.73</v>
      </c>
      <c r="M135" s="1">
        <v>-1.1000000000000001</v>
      </c>
      <c r="N135">
        <v>-4667.08</v>
      </c>
      <c r="O135" s="1">
        <v>-46.67</v>
      </c>
    </row>
    <row r="136" spans="1:15" ht="15.75" customHeight="1" x14ac:dyDescent="0.25">
      <c r="A136">
        <v>68</v>
      </c>
      <c r="B136" t="s">
        <v>76</v>
      </c>
      <c r="C136" s="2">
        <v>45862.25</v>
      </c>
      <c r="D136" t="s">
        <v>77</v>
      </c>
      <c r="E136">
        <v>117732.4</v>
      </c>
      <c r="F136">
        <v>0.158913</v>
      </c>
      <c r="G136">
        <v>18909.375695999999</v>
      </c>
      <c r="H136">
        <v>-215.21</v>
      </c>
      <c r="I136" s="1">
        <v>-1.1399999999999999</v>
      </c>
      <c r="J136">
        <v>35.880000000000003</v>
      </c>
      <c r="K136" s="1">
        <v>0.19</v>
      </c>
      <c r="L136">
        <v>-207.73</v>
      </c>
      <c r="M136" s="1">
        <v>-1.1000000000000001</v>
      </c>
      <c r="N136">
        <v>-4874.7299999999996</v>
      </c>
      <c r="O136" s="1">
        <v>-48.75</v>
      </c>
    </row>
    <row r="137" spans="1:15" ht="15.75" customHeight="1" x14ac:dyDescent="0.25">
      <c r="A137">
        <v>68</v>
      </c>
      <c r="B137" t="s">
        <v>78</v>
      </c>
      <c r="C137" s="2">
        <v>45862.052083333343</v>
      </c>
      <c r="D137" t="s">
        <v>79</v>
      </c>
      <c r="E137">
        <v>118992</v>
      </c>
      <c r="F137">
        <v>0.158913</v>
      </c>
      <c r="G137">
        <v>18909.375695999999</v>
      </c>
      <c r="H137">
        <v>-215.21</v>
      </c>
      <c r="I137" s="1">
        <v>-1.1399999999999999</v>
      </c>
      <c r="J137">
        <v>35.880000000000003</v>
      </c>
      <c r="K137" s="1">
        <v>0.19</v>
      </c>
      <c r="L137">
        <v>-207.73</v>
      </c>
      <c r="M137" s="1">
        <v>-1.1000000000000001</v>
      </c>
      <c r="N137">
        <v>-4874.7299999999996</v>
      </c>
      <c r="O137" s="1">
        <v>-48.75</v>
      </c>
    </row>
    <row r="138" spans="1:15" ht="15.75" customHeight="1" x14ac:dyDescent="0.25">
      <c r="A138">
        <v>69</v>
      </c>
      <c r="B138" t="s">
        <v>80</v>
      </c>
      <c r="C138" s="2">
        <v>45862.375</v>
      </c>
      <c r="D138" t="s">
        <v>77</v>
      </c>
      <c r="E138">
        <v>118761</v>
      </c>
      <c r="F138">
        <v>0.12617</v>
      </c>
      <c r="G138">
        <v>14833.945686999999</v>
      </c>
      <c r="H138">
        <v>-162.06</v>
      </c>
      <c r="I138" s="1">
        <v>-1.0900000000000001</v>
      </c>
      <c r="J138">
        <v>59.79</v>
      </c>
      <c r="K138" s="1">
        <v>0.4</v>
      </c>
      <c r="L138">
        <v>-156.06</v>
      </c>
      <c r="M138" s="1">
        <v>-1.05</v>
      </c>
      <c r="N138">
        <v>-5042.72</v>
      </c>
      <c r="O138" s="1">
        <v>-50.43</v>
      </c>
    </row>
    <row r="139" spans="1:15" ht="15.75" customHeight="1" x14ac:dyDescent="0.25">
      <c r="A139">
        <v>69</v>
      </c>
      <c r="B139" t="s">
        <v>82</v>
      </c>
      <c r="C139" s="2">
        <v>45862.25</v>
      </c>
      <c r="D139" t="s">
        <v>83</v>
      </c>
      <c r="E139">
        <v>117571.1</v>
      </c>
      <c r="F139">
        <v>0.12617</v>
      </c>
      <c r="G139">
        <v>14833.945686999999</v>
      </c>
      <c r="H139">
        <v>-162.06</v>
      </c>
      <c r="I139" s="1">
        <v>-1.0900000000000001</v>
      </c>
      <c r="J139">
        <v>59.79</v>
      </c>
      <c r="K139" s="1">
        <v>0.4</v>
      </c>
      <c r="L139">
        <v>-156.06</v>
      </c>
      <c r="M139" s="1">
        <v>-1.05</v>
      </c>
      <c r="N139">
        <v>-5042.72</v>
      </c>
      <c r="O139" s="1">
        <v>-50.43</v>
      </c>
    </row>
    <row r="140" spans="1:15" ht="15.75" customHeight="1" x14ac:dyDescent="0.25">
      <c r="A140">
        <v>70</v>
      </c>
      <c r="B140" t="s">
        <v>80</v>
      </c>
      <c r="C140" s="2">
        <v>45862.375</v>
      </c>
      <c r="D140" t="s">
        <v>77</v>
      </c>
      <c r="E140">
        <v>118761</v>
      </c>
      <c r="F140">
        <v>0.12617</v>
      </c>
      <c r="G140">
        <v>14833.945686999999</v>
      </c>
      <c r="H140">
        <v>-162.06</v>
      </c>
      <c r="I140" s="1">
        <v>-1.0900000000000001</v>
      </c>
      <c r="J140">
        <v>59.79</v>
      </c>
      <c r="K140" s="1">
        <v>0.4</v>
      </c>
      <c r="L140">
        <v>-156.06</v>
      </c>
      <c r="M140" s="1">
        <v>-1.05</v>
      </c>
      <c r="N140">
        <v>-5198.84</v>
      </c>
      <c r="O140" s="1">
        <v>-51.99</v>
      </c>
    </row>
    <row r="141" spans="1:15" ht="15.75" customHeight="1" x14ac:dyDescent="0.25">
      <c r="A141">
        <v>70</v>
      </c>
      <c r="B141" t="s">
        <v>82</v>
      </c>
      <c r="C141" s="2">
        <v>45862.25</v>
      </c>
      <c r="D141" t="s">
        <v>83</v>
      </c>
      <c r="E141">
        <v>117571.1</v>
      </c>
      <c r="F141">
        <v>0.12617</v>
      </c>
      <c r="G141">
        <v>14833.945686999999</v>
      </c>
      <c r="H141">
        <v>-162.06</v>
      </c>
      <c r="I141" s="1">
        <v>-1.0900000000000001</v>
      </c>
      <c r="J141">
        <v>59.79</v>
      </c>
      <c r="K141" s="1">
        <v>0.4</v>
      </c>
      <c r="L141">
        <v>-156.06</v>
      </c>
      <c r="M141" s="1">
        <v>-1.05</v>
      </c>
      <c r="N141">
        <v>-5198.84</v>
      </c>
      <c r="O141" s="1">
        <v>-51.99</v>
      </c>
    </row>
    <row r="142" spans="1:15" ht="15.75" customHeight="1" x14ac:dyDescent="0.25">
      <c r="A142">
        <v>71</v>
      </c>
      <c r="B142" t="s">
        <v>80</v>
      </c>
      <c r="C142" s="2">
        <v>45864.145833333343</v>
      </c>
      <c r="D142" t="s">
        <v>85</v>
      </c>
      <c r="E142">
        <v>117633.4</v>
      </c>
      <c r="F142">
        <v>0.10119400000000001</v>
      </c>
      <c r="G142">
        <v>12010.5741884</v>
      </c>
      <c r="H142">
        <v>97.21</v>
      </c>
      <c r="I142" s="1">
        <v>0.81</v>
      </c>
      <c r="J142">
        <v>402.13</v>
      </c>
      <c r="K142" s="1">
        <v>3.35</v>
      </c>
      <c r="L142">
        <v>-83.87</v>
      </c>
      <c r="M142" s="1">
        <v>-0.7</v>
      </c>
      <c r="N142">
        <v>-5106.43</v>
      </c>
      <c r="O142" s="1">
        <v>-51.06</v>
      </c>
    </row>
    <row r="143" spans="1:15" ht="15.75" customHeight="1" x14ac:dyDescent="0.25">
      <c r="A143">
        <v>71</v>
      </c>
      <c r="B143" t="s">
        <v>82</v>
      </c>
      <c r="C143" s="2">
        <v>45862.375</v>
      </c>
      <c r="D143" t="s">
        <v>83</v>
      </c>
      <c r="E143">
        <v>118688.6</v>
      </c>
      <c r="F143">
        <v>0.10119400000000001</v>
      </c>
      <c r="G143">
        <v>12010.5741884</v>
      </c>
      <c r="H143">
        <v>97.21</v>
      </c>
      <c r="I143" s="1">
        <v>0.81</v>
      </c>
      <c r="J143">
        <v>402.13</v>
      </c>
      <c r="K143" s="1">
        <v>3.35</v>
      </c>
      <c r="L143">
        <v>-83.87</v>
      </c>
      <c r="M143" s="1">
        <v>-0.7</v>
      </c>
      <c r="N143">
        <v>-5106.43</v>
      </c>
      <c r="O143" s="1">
        <v>-51.06</v>
      </c>
    </row>
    <row r="144" spans="1:15" ht="15.75" customHeight="1" x14ac:dyDescent="0.25">
      <c r="A144">
        <v>72</v>
      </c>
      <c r="B144" t="s">
        <v>80</v>
      </c>
      <c r="C144" s="2">
        <v>45864.145833333343</v>
      </c>
      <c r="D144" t="s">
        <v>85</v>
      </c>
      <c r="E144">
        <v>117633.4</v>
      </c>
      <c r="F144">
        <v>0.10119499999999999</v>
      </c>
      <c r="G144">
        <v>12010.692876999999</v>
      </c>
      <c r="H144">
        <v>97.22</v>
      </c>
      <c r="I144" s="1">
        <v>0.81</v>
      </c>
      <c r="J144">
        <v>402.13</v>
      </c>
      <c r="K144" s="1">
        <v>3.35</v>
      </c>
      <c r="L144">
        <v>-83.87</v>
      </c>
      <c r="M144" s="1">
        <v>-0.7</v>
      </c>
      <c r="N144">
        <v>-5004.41</v>
      </c>
      <c r="O144" s="1">
        <v>-50.04</v>
      </c>
    </row>
    <row r="145" spans="1:15" ht="15.75" customHeight="1" x14ac:dyDescent="0.25">
      <c r="A145">
        <v>72</v>
      </c>
      <c r="B145" t="s">
        <v>82</v>
      </c>
      <c r="C145" s="2">
        <v>45862.375</v>
      </c>
      <c r="D145" t="s">
        <v>83</v>
      </c>
      <c r="E145">
        <v>118688.6</v>
      </c>
      <c r="F145">
        <v>0.10119499999999999</v>
      </c>
      <c r="G145">
        <v>12010.692876999999</v>
      </c>
      <c r="H145">
        <v>97.22</v>
      </c>
      <c r="I145" s="1">
        <v>0.81</v>
      </c>
      <c r="J145">
        <v>402.13</v>
      </c>
      <c r="K145" s="1">
        <v>3.35</v>
      </c>
      <c r="L145">
        <v>-83.87</v>
      </c>
      <c r="M145" s="1">
        <v>-0.7</v>
      </c>
      <c r="N145">
        <v>-5004.41</v>
      </c>
      <c r="O145" s="1">
        <v>-50.04</v>
      </c>
    </row>
    <row r="146" spans="1:15" ht="15.75" customHeight="1" x14ac:dyDescent="0.25">
      <c r="A146">
        <v>73</v>
      </c>
      <c r="B146" t="s">
        <v>76</v>
      </c>
      <c r="C146" s="2">
        <v>45866.635416666657</v>
      </c>
      <c r="D146" t="s">
        <v>85</v>
      </c>
      <c r="E146">
        <v>118022.2</v>
      </c>
      <c r="F146">
        <v>0.212868</v>
      </c>
      <c r="G146">
        <v>25000.0481052</v>
      </c>
      <c r="H146">
        <v>103.05</v>
      </c>
      <c r="I146" s="1">
        <v>0.41</v>
      </c>
      <c r="J146">
        <v>494.09</v>
      </c>
      <c r="K146" s="1">
        <v>1.98</v>
      </c>
      <c r="L146">
        <v>-43.19</v>
      </c>
      <c r="M146" s="1">
        <v>-0.17</v>
      </c>
      <c r="N146">
        <v>-4911.3599999999997</v>
      </c>
      <c r="O146" s="1">
        <v>-49.11</v>
      </c>
    </row>
    <row r="147" spans="1:15" ht="15.75" customHeight="1" x14ac:dyDescent="0.25">
      <c r="A147">
        <v>73</v>
      </c>
      <c r="B147" t="s">
        <v>78</v>
      </c>
      <c r="C147" s="2">
        <v>45864.145833333343</v>
      </c>
      <c r="D147" t="s">
        <v>79</v>
      </c>
      <c r="E147">
        <v>117443.9</v>
      </c>
      <c r="F147">
        <v>0.212868</v>
      </c>
      <c r="G147">
        <v>25000.0481052</v>
      </c>
      <c r="H147">
        <v>103.05</v>
      </c>
      <c r="I147" s="1">
        <v>0.41</v>
      </c>
      <c r="J147">
        <v>494.09</v>
      </c>
      <c r="K147" s="1">
        <v>1.98</v>
      </c>
      <c r="L147">
        <v>-43.19</v>
      </c>
      <c r="M147" s="1">
        <v>-0.17</v>
      </c>
      <c r="N147">
        <v>-4911.3599999999997</v>
      </c>
      <c r="O147" s="1">
        <v>-49.11</v>
      </c>
    </row>
    <row r="148" spans="1:15" ht="15.75" customHeight="1" x14ac:dyDescent="0.25">
      <c r="A148">
        <v>74</v>
      </c>
      <c r="B148" t="s">
        <v>76</v>
      </c>
      <c r="C148" s="2">
        <v>45866.635416666657</v>
      </c>
      <c r="D148" t="s">
        <v>85</v>
      </c>
      <c r="E148">
        <v>118022.2</v>
      </c>
      <c r="F148">
        <v>0.212868</v>
      </c>
      <c r="G148">
        <v>25000.0481052</v>
      </c>
      <c r="H148">
        <v>103.05</v>
      </c>
      <c r="I148" s="1">
        <v>0.41</v>
      </c>
      <c r="J148">
        <v>494.09</v>
      </c>
      <c r="K148" s="1">
        <v>1.98</v>
      </c>
      <c r="L148">
        <v>-43.19</v>
      </c>
      <c r="M148" s="1">
        <v>-0.17</v>
      </c>
      <c r="N148">
        <v>-4798.3100000000004</v>
      </c>
      <c r="O148" s="1">
        <v>-47.98</v>
      </c>
    </row>
    <row r="149" spans="1:15" ht="15.75" customHeight="1" x14ac:dyDescent="0.25">
      <c r="A149">
        <v>74</v>
      </c>
      <c r="B149" t="s">
        <v>78</v>
      </c>
      <c r="C149" s="2">
        <v>45864.145833333343</v>
      </c>
      <c r="D149" t="s">
        <v>79</v>
      </c>
      <c r="E149">
        <v>117443.9</v>
      </c>
      <c r="F149">
        <v>0.212868</v>
      </c>
      <c r="G149">
        <v>25000.0481052</v>
      </c>
      <c r="H149">
        <v>103.05</v>
      </c>
      <c r="I149" s="1">
        <v>0.41</v>
      </c>
      <c r="J149">
        <v>494.09</v>
      </c>
      <c r="K149" s="1">
        <v>1.98</v>
      </c>
      <c r="L149">
        <v>-43.19</v>
      </c>
      <c r="M149" s="1">
        <v>-0.17</v>
      </c>
      <c r="N149">
        <v>-4798.3100000000004</v>
      </c>
      <c r="O149" s="1">
        <v>-47.98</v>
      </c>
    </row>
    <row r="150" spans="1:15" ht="15.75" customHeight="1" x14ac:dyDescent="0.25">
      <c r="A150">
        <v>75</v>
      </c>
      <c r="B150" t="s">
        <v>80</v>
      </c>
      <c r="C150" s="2">
        <v>45869.052083333343</v>
      </c>
      <c r="D150" t="s">
        <v>81</v>
      </c>
      <c r="E150">
        <v>117937.7</v>
      </c>
      <c r="F150">
        <v>0.121937</v>
      </c>
      <c r="G150">
        <v>14395.9066074</v>
      </c>
      <c r="H150">
        <v>3.43</v>
      </c>
      <c r="I150" s="1">
        <v>0.02</v>
      </c>
      <c r="J150">
        <v>282.04000000000002</v>
      </c>
      <c r="K150" s="1">
        <v>1.96</v>
      </c>
      <c r="L150">
        <v>-151.9</v>
      </c>
      <c r="M150" s="1">
        <v>-1.05</v>
      </c>
      <c r="N150">
        <v>-4800.6400000000003</v>
      </c>
      <c r="O150" s="1">
        <v>-48.01</v>
      </c>
    </row>
    <row r="151" spans="1:15" ht="15.75" customHeight="1" x14ac:dyDescent="0.25">
      <c r="A151">
        <v>75</v>
      </c>
      <c r="B151" t="s">
        <v>82</v>
      </c>
      <c r="C151" s="2">
        <v>45866.635416666657</v>
      </c>
      <c r="D151" t="s">
        <v>83</v>
      </c>
      <c r="E151">
        <v>118060.2</v>
      </c>
      <c r="F151">
        <v>0.121937</v>
      </c>
      <c r="G151">
        <v>14395.9066074</v>
      </c>
      <c r="H151">
        <v>3.43</v>
      </c>
      <c r="I151" s="1">
        <v>0.02</v>
      </c>
      <c r="J151">
        <v>282.04000000000002</v>
      </c>
      <c r="K151" s="1">
        <v>1.96</v>
      </c>
      <c r="L151">
        <v>-151.9</v>
      </c>
      <c r="M151" s="1">
        <v>-1.05</v>
      </c>
      <c r="N151">
        <v>-4800.6400000000003</v>
      </c>
      <c r="O151" s="1">
        <v>-48.01</v>
      </c>
    </row>
    <row r="152" spans="1:15" ht="15.75" customHeight="1" x14ac:dyDescent="0.25">
      <c r="A152">
        <v>76</v>
      </c>
      <c r="B152" t="s">
        <v>80</v>
      </c>
      <c r="C152" s="2">
        <v>45869.052083333343</v>
      </c>
      <c r="D152" t="s">
        <v>81</v>
      </c>
      <c r="E152">
        <v>117937.7</v>
      </c>
      <c r="F152">
        <v>0.121937</v>
      </c>
      <c r="G152">
        <v>14395.9066074</v>
      </c>
      <c r="H152">
        <v>3.43</v>
      </c>
      <c r="I152" s="1">
        <v>0.02</v>
      </c>
      <c r="J152">
        <v>282.04000000000002</v>
      </c>
      <c r="K152" s="1">
        <v>1.96</v>
      </c>
      <c r="L152">
        <v>-151.9</v>
      </c>
      <c r="M152" s="1">
        <v>-1.05</v>
      </c>
      <c r="N152">
        <v>-4791.45</v>
      </c>
      <c r="O152" s="1">
        <v>-47.91</v>
      </c>
    </row>
    <row r="153" spans="1:15" ht="15.75" customHeight="1" x14ac:dyDescent="0.25">
      <c r="A153">
        <v>76</v>
      </c>
      <c r="B153" t="s">
        <v>82</v>
      </c>
      <c r="C153" s="2">
        <v>45866.635416666657</v>
      </c>
      <c r="D153" t="s">
        <v>83</v>
      </c>
      <c r="E153">
        <v>118060.2</v>
      </c>
      <c r="F153">
        <v>0.121937</v>
      </c>
      <c r="G153">
        <v>14395.9066074</v>
      </c>
      <c r="H153">
        <v>3.43</v>
      </c>
      <c r="I153" s="1">
        <v>0.02</v>
      </c>
      <c r="J153">
        <v>282.04000000000002</v>
      </c>
      <c r="K153" s="1">
        <v>1.96</v>
      </c>
      <c r="L153">
        <v>-151.9</v>
      </c>
      <c r="M153" s="1">
        <v>-1.05</v>
      </c>
      <c r="N153">
        <v>-4791.45</v>
      </c>
      <c r="O153" s="1">
        <v>-47.91</v>
      </c>
    </row>
    <row r="154" spans="1:15" ht="15.75" customHeight="1" x14ac:dyDescent="0.25">
      <c r="A154">
        <v>77</v>
      </c>
      <c r="B154" t="s">
        <v>80</v>
      </c>
      <c r="C154" s="2">
        <v>45870.072916666657</v>
      </c>
      <c r="D154" t="s">
        <v>84</v>
      </c>
      <c r="E154">
        <v>115056.4</v>
      </c>
      <c r="F154">
        <v>0.15210799999999999</v>
      </c>
      <c r="G154">
        <v>17950.934355199999</v>
      </c>
      <c r="H154">
        <v>435.75</v>
      </c>
      <c r="I154" s="1">
        <v>2.4300000000000002</v>
      </c>
      <c r="J154">
        <v>442.76</v>
      </c>
      <c r="K154" s="1">
        <v>2.4700000000000002</v>
      </c>
      <c r="L154">
        <v>-143.41</v>
      </c>
      <c r="M154" s="1">
        <v>-0.8</v>
      </c>
      <c r="N154">
        <v>-4362.88</v>
      </c>
      <c r="O154" s="1">
        <v>-43.63</v>
      </c>
    </row>
    <row r="155" spans="1:15" ht="15.75" customHeight="1" x14ac:dyDescent="0.25">
      <c r="A155">
        <v>77</v>
      </c>
      <c r="B155" t="s">
        <v>82</v>
      </c>
      <c r="C155" s="2">
        <v>45869.052083333343</v>
      </c>
      <c r="D155" t="s">
        <v>83</v>
      </c>
      <c r="E155">
        <v>118014.39999999999</v>
      </c>
      <c r="F155">
        <v>0.15210799999999999</v>
      </c>
      <c r="G155">
        <v>17950.934355199999</v>
      </c>
      <c r="H155">
        <v>435.75</v>
      </c>
      <c r="I155" s="1">
        <v>2.4300000000000002</v>
      </c>
      <c r="J155">
        <v>442.76</v>
      </c>
      <c r="K155" s="1">
        <v>2.4700000000000002</v>
      </c>
      <c r="L155">
        <v>-143.41</v>
      </c>
      <c r="M155" s="1">
        <v>-0.8</v>
      </c>
      <c r="N155">
        <v>-4362.88</v>
      </c>
      <c r="O155" s="1">
        <v>-43.63</v>
      </c>
    </row>
    <row r="156" spans="1:15" ht="15.75" customHeight="1" x14ac:dyDescent="0.25">
      <c r="A156">
        <v>78</v>
      </c>
      <c r="B156" t="s">
        <v>80</v>
      </c>
      <c r="C156" s="2">
        <v>45871.78125</v>
      </c>
      <c r="D156" t="s">
        <v>86</v>
      </c>
      <c r="E156">
        <v>112591.1</v>
      </c>
      <c r="F156">
        <v>0.15210799999999999</v>
      </c>
      <c r="G156">
        <v>17950.934355199999</v>
      </c>
      <c r="H156">
        <v>810.9</v>
      </c>
      <c r="I156" s="1">
        <v>4.5199999999999996</v>
      </c>
      <c r="J156">
        <v>817.75</v>
      </c>
      <c r="K156" s="1">
        <v>4.55</v>
      </c>
      <c r="L156">
        <v>-143.41</v>
      </c>
      <c r="M156" s="1">
        <v>-0.8</v>
      </c>
      <c r="N156">
        <v>-3544.8</v>
      </c>
      <c r="O156" s="1">
        <v>-35.450000000000003</v>
      </c>
    </row>
    <row r="157" spans="1:15" ht="15.75" customHeight="1" x14ac:dyDescent="0.25">
      <c r="A157">
        <v>78</v>
      </c>
      <c r="B157" t="s">
        <v>82</v>
      </c>
      <c r="C157" s="2">
        <v>45869.052083333343</v>
      </c>
      <c r="D157" t="s">
        <v>83</v>
      </c>
      <c r="E157">
        <v>118014.39999999999</v>
      </c>
      <c r="F157">
        <v>0.15210799999999999</v>
      </c>
      <c r="G157">
        <v>17950.934355199999</v>
      </c>
      <c r="H157">
        <v>810.9</v>
      </c>
      <c r="I157" s="1">
        <v>4.5199999999999996</v>
      </c>
      <c r="J157">
        <v>817.75</v>
      </c>
      <c r="K157" s="1">
        <v>4.55</v>
      </c>
      <c r="L157">
        <v>-143.41</v>
      </c>
      <c r="M157" s="1">
        <v>-0.8</v>
      </c>
      <c r="N157">
        <v>-3544.8</v>
      </c>
      <c r="O157" s="1">
        <v>-35.450000000000003</v>
      </c>
    </row>
    <row r="158" spans="1:15" ht="15.75" customHeight="1" x14ac:dyDescent="0.25">
      <c r="A158">
        <v>79</v>
      </c>
      <c r="B158" t="s">
        <v>80</v>
      </c>
      <c r="C158" s="2">
        <v>45872.1875</v>
      </c>
      <c r="D158" t="s">
        <v>77</v>
      </c>
      <c r="E158">
        <v>113675.5</v>
      </c>
      <c r="F158">
        <v>0.152198</v>
      </c>
      <c r="G158">
        <v>17151.025202199999</v>
      </c>
      <c r="H158">
        <v>-163.94</v>
      </c>
      <c r="I158" s="1">
        <v>-0.96</v>
      </c>
      <c r="J158">
        <v>120.82</v>
      </c>
      <c r="K158" s="1">
        <v>0.7</v>
      </c>
      <c r="L158">
        <v>-157.02000000000001</v>
      </c>
      <c r="M158" s="1">
        <v>-0.92</v>
      </c>
      <c r="N158">
        <v>-3715.6</v>
      </c>
      <c r="O158" s="1">
        <v>-37.159999999999997</v>
      </c>
    </row>
    <row r="159" spans="1:15" ht="15.75" customHeight="1" x14ac:dyDescent="0.25">
      <c r="A159">
        <v>79</v>
      </c>
      <c r="B159" t="s">
        <v>82</v>
      </c>
      <c r="C159" s="2">
        <v>45871.78125</v>
      </c>
      <c r="D159" t="s">
        <v>83</v>
      </c>
      <c r="E159">
        <v>112688.9</v>
      </c>
      <c r="F159">
        <v>0.152198</v>
      </c>
      <c r="G159">
        <v>17151.025202199999</v>
      </c>
      <c r="H159">
        <v>-163.94</v>
      </c>
      <c r="I159" s="1">
        <v>-0.96</v>
      </c>
      <c r="J159">
        <v>120.82</v>
      </c>
      <c r="K159" s="1">
        <v>0.7</v>
      </c>
      <c r="L159">
        <v>-157.02000000000001</v>
      </c>
      <c r="M159" s="1">
        <v>-0.92</v>
      </c>
      <c r="N159">
        <v>-3715.6</v>
      </c>
      <c r="O159" s="1">
        <v>-37.159999999999997</v>
      </c>
    </row>
    <row r="160" spans="1:15" ht="15.75" customHeight="1" x14ac:dyDescent="0.25">
      <c r="A160">
        <v>80</v>
      </c>
      <c r="B160" t="s">
        <v>80</v>
      </c>
      <c r="C160" s="2">
        <v>45872.1875</v>
      </c>
      <c r="D160" t="s">
        <v>77</v>
      </c>
      <c r="E160">
        <v>113675.5</v>
      </c>
      <c r="F160">
        <v>0.152199</v>
      </c>
      <c r="G160">
        <v>17151.137891099999</v>
      </c>
      <c r="H160">
        <v>-163.94</v>
      </c>
      <c r="I160" s="1">
        <v>-0.96</v>
      </c>
      <c r="J160">
        <v>120.82</v>
      </c>
      <c r="K160" s="1">
        <v>0.7</v>
      </c>
      <c r="L160">
        <v>-157.02000000000001</v>
      </c>
      <c r="M160" s="1">
        <v>-0.92</v>
      </c>
      <c r="N160">
        <v>-3872.68</v>
      </c>
      <c r="O160" s="1">
        <v>-38.729999999999997</v>
      </c>
    </row>
    <row r="161" spans="1:15" ht="15.75" customHeight="1" x14ac:dyDescent="0.25">
      <c r="A161">
        <v>80</v>
      </c>
      <c r="B161" t="s">
        <v>82</v>
      </c>
      <c r="C161" s="2">
        <v>45871.78125</v>
      </c>
      <c r="D161" t="s">
        <v>83</v>
      </c>
      <c r="E161">
        <v>112688.9</v>
      </c>
      <c r="F161">
        <v>0.152199</v>
      </c>
      <c r="G161">
        <v>17151.137891099999</v>
      </c>
      <c r="H161">
        <v>-163.94</v>
      </c>
      <c r="I161" s="1">
        <v>-0.96</v>
      </c>
      <c r="J161">
        <v>120.82</v>
      </c>
      <c r="K161" s="1">
        <v>0.7</v>
      </c>
      <c r="L161">
        <v>-157.02000000000001</v>
      </c>
      <c r="M161" s="1">
        <v>-0.92</v>
      </c>
      <c r="N161">
        <v>-3872.68</v>
      </c>
      <c r="O161" s="1">
        <v>-38.729999999999997</v>
      </c>
    </row>
    <row r="162" spans="1:15" ht="15.75" customHeight="1" x14ac:dyDescent="0.25">
      <c r="A162">
        <v>81</v>
      </c>
      <c r="B162" t="s">
        <v>76</v>
      </c>
      <c r="C162" s="2">
        <v>45874.354166666657</v>
      </c>
      <c r="D162" t="s">
        <v>81</v>
      </c>
      <c r="E162">
        <v>113764.5</v>
      </c>
      <c r="F162">
        <v>0.18923999999999999</v>
      </c>
      <c r="G162">
        <v>21508.885932000001</v>
      </c>
      <c r="H162">
        <v>2.69</v>
      </c>
      <c r="I162" s="1">
        <v>0.01</v>
      </c>
      <c r="J162">
        <v>374.93</v>
      </c>
      <c r="K162" s="1">
        <v>1.74</v>
      </c>
      <c r="L162">
        <v>-79.3</v>
      </c>
      <c r="M162" s="1">
        <v>-0.37</v>
      </c>
      <c r="N162">
        <v>-3878.59</v>
      </c>
      <c r="O162" s="1">
        <v>-38.79</v>
      </c>
    </row>
    <row r="163" spans="1:15" ht="15.75" customHeight="1" x14ac:dyDescent="0.25">
      <c r="A163">
        <v>81</v>
      </c>
      <c r="B163" t="s">
        <v>78</v>
      </c>
      <c r="C163" s="2">
        <v>45872.1875</v>
      </c>
      <c r="D163" t="s">
        <v>79</v>
      </c>
      <c r="E163">
        <v>113659.3</v>
      </c>
      <c r="F163">
        <v>0.18923999999999999</v>
      </c>
      <c r="G163">
        <v>21508.885932000001</v>
      </c>
      <c r="H163">
        <v>2.69</v>
      </c>
      <c r="I163" s="1">
        <v>0.01</v>
      </c>
      <c r="J163">
        <v>374.93</v>
      </c>
      <c r="K163" s="1">
        <v>1.74</v>
      </c>
      <c r="L163">
        <v>-79.3</v>
      </c>
      <c r="M163" s="1">
        <v>-0.37</v>
      </c>
      <c r="N163">
        <v>-3878.59</v>
      </c>
      <c r="O163" s="1">
        <v>-38.79</v>
      </c>
    </row>
    <row r="164" spans="1:15" ht="15.75" customHeight="1" x14ac:dyDescent="0.25">
      <c r="A164">
        <v>82</v>
      </c>
      <c r="B164" t="s">
        <v>76</v>
      </c>
      <c r="C164" s="2">
        <v>45874.354166666657</v>
      </c>
      <c r="D164" t="s">
        <v>81</v>
      </c>
      <c r="E164">
        <v>113764.5</v>
      </c>
      <c r="F164">
        <v>0.18924099999999999</v>
      </c>
      <c r="G164">
        <v>21508.999591299998</v>
      </c>
      <c r="H164">
        <v>2.69</v>
      </c>
      <c r="I164" s="1">
        <v>0.01</v>
      </c>
      <c r="J164">
        <v>374.93</v>
      </c>
      <c r="K164" s="1">
        <v>1.74</v>
      </c>
      <c r="L164">
        <v>-79.3</v>
      </c>
      <c r="M164" s="1">
        <v>-0.37</v>
      </c>
      <c r="N164">
        <v>-3867.3</v>
      </c>
      <c r="O164" s="1">
        <v>-38.67</v>
      </c>
    </row>
    <row r="165" spans="1:15" ht="15.75" customHeight="1" x14ac:dyDescent="0.25">
      <c r="A165">
        <v>82</v>
      </c>
      <c r="B165" t="s">
        <v>78</v>
      </c>
      <c r="C165" s="2">
        <v>45872.1875</v>
      </c>
      <c r="D165" t="s">
        <v>79</v>
      </c>
      <c r="E165">
        <v>113659.3</v>
      </c>
      <c r="F165">
        <v>0.18924099999999999</v>
      </c>
      <c r="G165">
        <v>21508.999591299998</v>
      </c>
      <c r="H165">
        <v>2.69</v>
      </c>
      <c r="I165" s="1">
        <v>0.01</v>
      </c>
      <c r="J165">
        <v>374.93</v>
      </c>
      <c r="K165" s="1">
        <v>1.74</v>
      </c>
      <c r="L165">
        <v>-79.3</v>
      </c>
      <c r="M165" s="1">
        <v>-0.37</v>
      </c>
      <c r="N165">
        <v>-3867.3</v>
      </c>
      <c r="O165" s="1">
        <v>-38.67</v>
      </c>
    </row>
    <row r="166" spans="1:15" ht="15.75" customHeight="1" x14ac:dyDescent="0.25">
      <c r="A166">
        <v>83</v>
      </c>
      <c r="B166" t="s">
        <v>80</v>
      </c>
      <c r="C166" s="2">
        <v>45874.46875</v>
      </c>
      <c r="D166" t="s">
        <v>77</v>
      </c>
      <c r="E166">
        <v>114843.4</v>
      </c>
      <c r="F166">
        <v>0.181176</v>
      </c>
      <c r="G166">
        <v>20656.672934400001</v>
      </c>
      <c r="H166">
        <v>-166.78</v>
      </c>
      <c r="I166" s="1">
        <v>-0.81</v>
      </c>
      <c r="J166">
        <v>17.989999999999998</v>
      </c>
      <c r="K166" s="1">
        <v>0.09</v>
      </c>
      <c r="L166">
        <v>-158.46</v>
      </c>
      <c r="M166" s="1">
        <v>-0.77</v>
      </c>
      <c r="N166">
        <v>-4042.34</v>
      </c>
      <c r="O166" s="1">
        <v>-40.42</v>
      </c>
    </row>
    <row r="167" spans="1:15" ht="15.75" customHeight="1" x14ac:dyDescent="0.25">
      <c r="A167">
        <v>83</v>
      </c>
      <c r="B167" t="s">
        <v>82</v>
      </c>
      <c r="C167" s="2">
        <v>45874.354166666657</v>
      </c>
      <c r="D167" t="s">
        <v>83</v>
      </c>
      <c r="E167">
        <v>114014.39999999999</v>
      </c>
      <c r="F167">
        <v>0.181176</v>
      </c>
      <c r="G167">
        <v>20656.672934400001</v>
      </c>
      <c r="H167">
        <v>-166.78</v>
      </c>
      <c r="I167" s="1">
        <v>-0.81</v>
      </c>
      <c r="J167">
        <v>17.989999999999998</v>
      </c>
      <c r="K167" s="1">
        <v>0.09</v>
      </c>
      <c r="L167">
        <v>-158.46</v>
      </c>
      <c r="M167" s="1">
        <v>-0.77</v>
      </c>
      <c r="N167">
        <v>-4042.34</v>
      </c>
      <c r="O167" s="1">
        <v>-40.42</v>
      </c>
    </row>
    <row r="168" spans="1:15" ht="15.75" customHeight="1" x14ac:dyDescent="0.25">
      <c r="A168">
        <v>84</v>
      </c>
      <c r="B168" t="s">
        <v>80</v>
      </c>
      <c r="C168" s="2">
        <v>45874.46875</v>
      </c>
      <c r="D168" t="s">
        <v>77</v>
      </c>
      <c r="E168">
        <v>114843.4</v>
      </c>
      <c r="F168">
        <v>0.181176</v>
      </c>
      <c r="G168">
        <v>20656.672934400001</v>
      </c>
      <c r="H168">
        <v>-166.78</v>
      </c>
      <c r="I168" s="1">
        <v>-0.81</v>
      </c>
      <c r="J168">
        <v>17.989999999999998</v>
      </c>
      <c r="K168" s="1">
        <v>0.09</v>
      </c>
      <c r="L168">
        <v>-158.46</v>
      </c>
      <c r="M168" s="1">
        <v>-0.77</v>
      </c>
      <c r="N168">
        <v>-4200.8599999999997</v>
      </c>
      <c r="O168" s="1">
        <v>-42.01</v>
      </c>
    </row>
    <row r="169" spans="1:15" ht="15.75" customHeight="1" x14ac:dyDescent="0.25">
      <c r="A169">
        <v>84</v>
      </c>
      <c r="B169" t="s">
        <v>82</v>
      </c>
      <c r="C169" s="2">
        <v>45874.354166666657</v>
      </c>
      <c r="D169" t="s">
        <v>83</v>
      </c>
      <c r="E169">
        <v>114014.39999999999</v>
      </c>
      <c r="F169">
        <v>0.181176</v>
      </c>
      <c r="G169">
        <v>20656.672934400001</v>
      </c>
      <c r="H169">
        <v>-166.78</v>
      </c>
      <c r="I169" s="1">
        <v>-0.81</v>
      </c>
      <c r="J169">
        <v>17.989999999999998</v>
      </c>
      <c r="K169" s="1">
        <v>0.09</v>
      </c>
      <c r="L169">
        <v>-158.46</v>
      </c>
      <c r="M169" s="1">
        <v>-0.77</v>
      </c>
      <c r="N169">
        <v>-4200.8599999999997</v>
      </c>
      <c r="O169" s="1">
        <v>-42.01</v>
      </c>
    </row>
    <row r="170" spans="1:15" ht="15.75" customHeight="1" x14ac:dyDescent="0.25">
      <c r="A170">
        <v>85</v>
      </c>
      <c r="B170" t="s">
        <v>76</v>
      </c>
      <c r="C170" s="2">
        <v>45874.5625</v>
      </c>
      <c r="D170" t="s">
        <v>77</v>
      </c>
      <c r="E170">
        <v>113950.5</v>
      </c>
      <c r="F170">
        <v>0.20687900000000001</v>
      </c>
      <c r="G170">
        <v>23774.182985700001</v>
      </c>
      <c r="H170">
        <v>-219.16</v>
      </c>
      <c r="I170" s="1">
        <v>-0.92</v>
      </c>
      <c r="J170">
        <v>19.18</v>
      </c>
      <c r="K170" s="1">
        <v>0.08</v>
      </c>
      <c r="L170">
        <v>-209.73</v>
      </c>
      <c r="M170" s="1">
        <v>-0.88</v>
      </c>
      <c r="N170">
        <v>-4429.5200000000004</v>
      </c>
      <c r="O170" s="1">
        <v>-44.3</v>
      </c>
    </row>
    <row r="171" spans="1:15" ht="15.75" customHeight="1" x14ac:dyDescent="0.25">
      <c r="A171">
        <v>85</v>
      </c>
      <c r="B171" t="s">
        <v>78</v>
      </c>
      <c r="C171" s="2">
        <v>45874.46875</v>
      </c>
      <c r="D171" t="s">
        <v>79</v>
      </c>
      <c r="E171">
        <v>114918.3</v>
      </c>
      <c r="F171">
        <v>0.20687900000000001</v>
      </c>
      <c r="G171">
        <v>23774.182985700001</v>
      </c>
      <c r="H171">
        <v>-219.16</v>
      </c>
      <c r="I171" s="1">
        <v>-0.92</v>
      </c>
      <c r="J171">
        <v>19.18</v>
      </c>
      <c r="K171" s="1">
        <v>0.08</v>
      </c>
      <c r="L171">
        <v>-209.73</v>
      </c>
      <c r="M171" s="1">
        <v>-0.88</v>
      </c>
      <c r="N171">
        <v>-4429.5200000000004</v>
      </c>
      <c r="O171" s="1">
        <v>-44.3</v>
      </c>
    </row>
    <row r="172" spans="1:15" ht="15.75" customHeight="1" x14ac:dyDescent="0.25">
      <c r="A172">
        <v>86</v>
      </c>
      <c r="B172" t="s">
        <v>76</v>
      </c>
      <c r="C172" s="2">
        <v>45874.5625</v>
      </c>
      <c r="D172" t="s">
        <v>77</v>
      </c>
      <c r="E172">
        <v>113950.5</v>
      </c>
      <c r="F172">
        <v>0.20687900000000001</v>
      </c>
      <c r="G172">
        <v>23774.182985700001</v>
      </c>
      <c r="H172">
        <v>-219.16</v>
      </c>
      <c r="I172" s="1">
        <v>-0.92</v>
      </c>
      <c r="J172">
        <v>19.18</v>
      </c>
      <c r="K172" s="1">
        <v>0.08</v>
      </c>
      <c r="L172">
        <v>-209.73</v>
      </c>
      <c r="M172" s="1">
        <v>-0.88</v>
      </c>
      <c r="N172">
        <v>-4639.17</v>
      </c>
      <c r="O172" s="1">
        <v>-46.39</v>
      </c>
    </row>
    <row r="173" spans="1:15" ht="15.75" customHeight="1" x14ac:dyDescent="0.25">
      <c r="A173">
        <v>86</v>
      </c>
      <c r="B173" t="s">
        <v>78</v>
      </c>
      <c r="C173" s="2">
        <v>45874.46875</v>
      </c>
      <c r="D173" t="s">
        <v>79</v>
      </c>
      <c r="E173">
        <v>114918.3</v>
      </c>
      <c r="F173">
        <v>0.20687900000000001</v>
      </c>
      <c r="G173">
        <v>23774.182985700001</v>
      </c>
      <c r="H173">
        <v>-219.16</v>
      </c>
      <c r="I173" s="1">
        <v>-0.92</v>
      </c>
      <c r="J173">
        <v>19.18</v>
      </c>
      <c r="K173" s="1">
        <v>0.08</v>
      </c>
      <c r="L173">
        <v>-209.73</v>
      </c>
      <c r="M173" s="1">
        <v>-0.88</v>
      </c>
      <c r="N173">
        <v>-4639.17</v>
      </c>
      <c r="O173" s="1">
        <v>-46.39</v>
      </c>
    </row>
    <row r="174" spans="1:15" ht="15.75" customHeight="1" x14ac:dyDescent="0.25">
      <c r="A174">
        <v>87</v>
      </c>
      <c r="B174" t="s">
        <v>80</v>
      </c>
      <c r="C174" s="2">
        <v>45874.833333333343</v>
      </c>
      <c r="D174" t="s">
        <v>81</v>
      </c>
      <c r="E174">
        <v>113708.8</v>
      </c>
      <c r="F174">
        <v>0.125252</v>
      </c>
      <c r="G174">
        <v>14257.197181199999</v>
      </c>
      <c r="H174">
        <v>3.54</v>
      </c>
      <c r="I174" s="1">
        <v>0.02</v>
      </c>
      <c r="J174">
        <v>150.32</v>
      </c>
      <c r="K174" s="1">
        <v>1.05</v>
      </c>
      <c r="L174">
        <v>-93.62</v>
      </c>
      <c r="M174" s="1">
        <v>-0.66</v>
      </c>
      <c r="N174">
        <v>-4641.33</v>
      </c>
      <c r="O174" s="1">
        <v>-46.41</v>
      </c>
    </row>
    <row r="175" spans="1:15" ht="15.75" customHeight="1" x14ac:dyDescent="0.25">
      <c r="A175">
        <v>87</v>
      </c>
      <c r="B175" t="s">
        <v>82</v>
      </c>
      <c r="C175" s="2">
        <v>45874.5625</v>
      </c>
      <c r="D175" t="s">
        <v>83</v>
      </c>
      <c r="E175">
        <v>113828.1</v>
      </c>
      <c r="F175">
        <v>0.125252</v>
      </c>
      <c r="G175">
        <v>14257.197181199999</v>
      </c>
      <c r="H175">
        <v>3.54</v>
      </c>
      <c r="I175" s="1">
        <v>0.02</v>
      </c>
      <c r="J175">
        <v>150.32</v>
      </c>
      <c r="K175" s="1">
        <v>1.05</v>
      </c>
      <c r="L175">
        <v>-93.62</v>
      </c>
      <c r="M175" s="1">
        <v>-0.66</v>
      </c>
      <c r="N175">
        <v>-4641.33</v>
      </c>
      <c r="O175" s="1">
        <v>-46.41</v>
      </c>
    </row>
    <row r="176" spans="1:15" ht="15.75" customHeight="1" x14ac:dyDescent="0.25">
      <c r="A176">
        <v>88</v>
      </c>
      <c r="B176" t="s">
        <v>80</v>
      </c>
      <c r="C176" s="2">
        <v>45874.833333333343</v>
      </c>
      <c r="D176" t="s">
        <v>81</v>
      </c>
      <c r="E176">
        <v>113708.8</v>
      </c>
      <c r="F176">
        <v>0.125253</v>
      </c>
      <c r="G176">
        <v>14257.3110093</v>
      </c>
      <c r="H176">
        <v>3.54</v>
      </c>
      <c r="I176" s="1">
        <v>0.02</v>
      </c>
      <c r="J176">
        <v>150.32</v>
      </c>
      <c r="K176" s="1">
        <v>1.05</v>
      </c>
      <c r="L176">
        <v>-93.62</v>
      </c>
      <c r="M176" s="1">
        <v>-0.66</v>
      </c>
      <c r="N176">
        <v>-4632.09</v>
      </c>
      <c r="O176" s="1">
        <v>-46.32</v>
      </c>
    </row>
    <row r="177" spans="1:15" ht="15.75" customHeight="1" x14ac:dyDescent="0.25">
      <c r="A177">
        <v>88</v>
      </c>
      <c r="B177" t="s">
        <v>82</v>
      </c>
      <c r="C177" s="2">
        <v>45874.5625</v>
      </c>
      <c r="D177" t="s">
        <v>83</v>
      </c>
      <c r="E177">
        <v>113828.1</v>
      </c>
      <c r="F177">
        <v>0.125253</v>
      </c>
      <c r="G177">
        <v>14257.3110093</v>
      </c>
      <c r="H177">
        <v>3.54</v>
      </c>
      <c r="I177" s="1">
        <v>0.02</v>
      </c>
      <c r="J177">
        <v>150.32</v>
      </c>
      <c r="K177" s="1">
        <v>1.05</v>
      </c>
      <c r="L177">
        <v>-93.62</v>
      </c>
      <c r="M177" s="1">
        <v>-0.66</v>
      </c>
      <c r="N177">
        <v>-4632.09</v>
      </c>
      <c r="O177" s="1">
        <v>-46.32</v>
      </c>
    </row>
    <row r="178" spans="1:15" ht="15.75" customHeight="1" x14ac:dyDescent="0.25">
      <c r="A178">
        <v>89</v>
      </c>
      <c r="B178" t="s">
        <v>80</v>
      </c>
      <c r="C178" s="2">
        <v>45875.65625</v>
      </c>
      <c r="D178" t="s">
        <v>77</v>
      </c>
      <c r="E178">
        <v>114827.2</v>
      </c>
      <c r="F178">
        <v>0.11781700000000001</v>
      </c>
      <c r="G178">
        <v>13378.473801</v>
      </c>
      <c r="H178">
        <v>-160.88999999999999</v>
      </c>
      <c r="I178" s="1">
        <v>-1.2</v>
      </c>
      <c r="J178">
        <v>31.51</v>
      </c>
      <c r="K178" s="1">
        <v>0.24</v>
      </c>
      <c r="L178">
        <v>-155.47</v>
      </c>
      <c r="M178" s="1">
        <v>-1.1599999999999999</v>
      </c>
      <c r="N178">
        <v>-4798.32</v>
      </c>
      <c r="O178" s="1">
        <v>-47.98</v>
      </c>
    </row>
    <row r="179" spans="1:15" ht="15.75" customHeight="1" x14ac:dyDescent="0.25">
      <c r="A179">
        <v>89</v>
      </c>
      <c r="B179" t="s">
        <v>82</v>
      </c>
      <c r="C179" s="2">
        <v>45874.833333333343</v>
      </c>
      <c r="D179" t="s">
        <v>83</v>
      </c>
      <c r="E179">
        <v>113553</v>
      </c>
      <c r="F179">
        <v>0.11781700000000001</v>
      </c>
      <c r="G179">
        <v>13378.473801</v>
      </c>
      <c r="H179">
        <v>-160.88999999999999</v>
      </c>
      <c r="I179" s="1">
        <v>-1.2</v>
      </c>
      <c r="J179">
        <v>31.51</v>
      </c>
      <c r="K179" s="1">
        <v>0.24</v>
      </c>
      <c r="L179">
        <v>-155.47</v>
      </c>
      <c r="M179" s="1">
        <v>-1.1599999999999999</v>
      </c>
      <c r="N179">
        <v>-4798.32</v>
      </c>
      <c r="O179" s="1">
        <v>-47.98</v>
      </c>
    </row>
    <row r="180" spans="1:15" ht="15.75" customHeight="1" x14ac:dyDescent="0.25">
      <c r="A180">
        <v>90</v>
      </c>
      <c r="B180" t="s">
        <v>80</v>
      </c>
      <c r="C180" s="2">
        <v>45875.65625</v>
      </c>
      <c r="D180" t="s">
        <v>77</v>
      </c>
      <c r="E180">
        <v>114827.2</v>
      </c>
      <c r="F180">
        <v>0.11781800000000001</v>
      </c>
      <c r="G180">
        <v>13378.587353999999</v>
      </c>
      <c r="H180">
        <v>-160.88999999999999</v>
      </c>
      <c r="I180" s="1">
        <v>-1.2</v>
      </c>
      <c r="J180">
        <v>31.51</v>
      </c>
      <c r="K180" s="1">
        <v>0.24</v>
      </c>
      <c r="L180">
        <v>-155.47999999999999</v>
      </c>
      <c r="M180" s="1">
        <v>-1.1599999999999999</v>
      </c>
      <c r="N180">
        <v>-4953.8599999999997</v>
      </c>
      <c r="O180" s="1">
        <v>-49.54</v>
      </c>
    </row>
    <row r="181" spans="1:15" ht="15.75" customHeight="1" x14ac:dyDescent="0.25">
      <c r="A181">
        <v>90</v>
      </c>
      <c r="B181" t="s">
        <v>82</v>
      </c>
      <c r="C181" s="2">
        <v>45874.833333333343</v>
      </c>
      <c r="D181" t="s">
        <v>83</v>
      </c>
      <c r="E181">
        <v>113553</v>
      </c>
      <c r="F181">
        <v>0.11781800000000001</v>
      </c>
      <c r="G181">
        <v>13378.587353999999</v>
      </c>
      <c r="H181">
        <v>-160.88999999999999</v>
      </c>
      <c r="I181" s="1">
        <v>-1.2</v>
      </c>
      <c r="J181">
        <v>31.51</v>
      </c>
      <c r="K181" s="1">
        <v>0.24</v>
      </c>
      <c r="L181">
        <v>-155.47999999999999</v>
      </c>
      <c r="M181" s="1">
        <v>-1.1599999999999999</v>
      </c>
      <c r="N181">
        <v>-4953.8599999999997</v>
      </c>
      <c r="O181" s="1">
        <v>-49.54</v>
      </c>
    </row>
    <row r="182" spans="1:15" ht="15.75" customHeight="1" x14ac:dyDescent="0.25">
      <c r="A182">
        <v>91</v>
      </c>
      <c r="B182" t="s">
        <v>76</v>
      </c>
      <c r="C182" s="2">
        <v>45880.052083333343</v>
      </c>
      <c r="D182" t="s">
        <v>84</v>
      </c>
      <c r="E182">
        <v>119346</v>
      </c>
      <c r="F182">
        <v>0.14274800000000001</v>
      </c>
      <c r="G182">
        <v>16436.461513599999</v>
      </c>
      <c r="H182">
        <v>586.54999999999995</v>
      </c>
      <c r="I182" s="1">
        <v>3.57</v>
      </c>
      <c r="J182">
        <v>593.37</v>
      </c>
      <c r="K182" s="1">
        <v>3.61</v>
      </c>
      <c r="L182">
        <v>-139.59</v>
      </c>
      <c r="M182" s="1">
        <v>-0.85</v>
      </c>
      <c r="N182">
        <v>-4373.88</v>
      </c>
      <c r="O182" s="1">
        <v>-43.74</v>
      </c>
    </row>
    <row r="183" spans="1:15" ht="15.75" customHeight="1" x14ac:dyDescent="0.25">
      <c r="A183">
        <v>91</v>
      </c>
      <c r="B183" t="s">
        <v>78</v>
      </c>
      <c r="C183" s="2">
        <v>45875.65625</v>
      </c>
      <c r="D183" t="s">
        <v>79</v>
      </c>
      <c r="E183">
        <v>115143.2</v>
      </c>
      <c r="F183">
        <v>0.14274800000000001</v>
      </c>
      <c r="G183">
        <v>16436.461513599999</v>
      </c>
      <c r="H183">
        <v>586.54999999999995</v>
      </c>
      <c r="I183" s="1">
        <v>3.57</v>
      </c>
      <c r="J183">
        <v>593.37</v>
      </c>
      <c r="K183" s="1">
        <v>3.61</v>
      </c>
      <c r="L183">
        <v>-139.59</v>
      </c>
      <c r="M183" s="1">
        <v>-0.85</v>
      </c>
      <c r="N183">
        <v>-4373.88</v>
      </c>
      <c r="O183" s="1">
        <v>-43.74</v>
      </c>
    </row>
    <row r="184" spans="1:15" ht="15.75" customHeight="1" x14ac:dyDescent="0.25">
      <c r="A184">
        <v>92</v>
      </c>
      <c r="B184" t="s">
        <v>76</v>
      </c>
      <c r="C184" s="2">
        <v>45880.5625</v>
      </c>
      <c r="D184" t="s">
        <v>85</v>
      </c>
      <c r="E184">
        <v>119646.3</v>
      </c>
      <c r="F184">
        <v>0.14274800000000001</v>
      </c>
      <c r="G184">
        <v>16436.461513599999</v>
      </c>
      <c r="H184">
        <v>629.4</v>
      </c>
      <c r="I184" s="1">
        <v>3.83</v>
      </c>
      <c r="J184">
        <v>1036.46</v>
      </c>
      <c r="K184" s="1">
        <v>6.3</v>
      </c>
      <c r="L184">
        <v>-139.59</v>
      </c>
      <c r="M184" s="1">
        <v>-0.85</v>
      </c>
      <c r="N184">
        <v>-3737.9</v>
      </c>
      <c r="O184" s="1">
        <v>-37.380000000000003</v>
      </c>
    </row>
    <row r="185" spans="1:15" ht="15.75" customHeight="1" x14ac:dyDescent="0.25">
      <c r="A185">
        <v>92</v>
      </c>
      <c r="B185" t="s">
        <v>78</v>
      </c>
      <c r="C185" s="2">
        <v>45875.65625</v>
      </c>
      <c r="D185" t="s">
        <v>79</v>
      </c>
      <c r="E185">
        <v>115143.2</v>
      </c>
      <c r="F185">
        <v>0.14274800000000001</v>
      </c>
      <c r="G185">
        <v>16436.461513599999</v>
      </c>
      <c r="H185">
        <v>629.4</v>
      </c>
      <c r="I185" s="1">
        <v>3.83</v>
      </c>
      <c r="J185">
        <v>1036.46</v>
      </c>
      <c r="K185" s="1">
        <v>6.3</v>
      </c>
      <c r="L185">
        <v>-139.59</v>
      </c>
      <c r="M185" s="1">
        <v>-0.85</v>
      </c>
      <c r="N185">
        <v>-3737.9</v>
      </c>
      <c r="O185" s="1">
        <v>-37.380000000000003</v>
      </c>
    </row>
    <row r="186" spans="1:15" ht="15.75" customHeight="1" x14ac:dyDescent="0.25">
      <c r="A186">
        <v>93</v>
      </c>
      <c r="B186" t="s">
        <v>80</v>
      </c>
      <c r="C186" s="2">
        <v>45881.604166666657</v>
      </c>
      <c r="D186" t="s">
        <v>81</v>
      </c>
      <c r="E186">
        <v>119407.5</v>
      </c>
      <c r="F186">
        <v>0.100346</v>
      </c>
      <c r="G186">
        <v>11997.016549</v>
      </c>
      <c r="H186">
        <v>5.36</v>
      </c>
      <c r="I186" s="1">
        <v>0.04</v>
      </c>
      <c r="J186">
        <v>146.37</v>
      </c>
      <c r="K186" s="1">
        <v>1.22</v>
      </c>
      <c r="L186">
        <v>-129.47999999999999</v>
      </c>
      <c r="M186" s="1">
        <v>-1.08</v>
      </c>
      <c r="N186">
        <v>-3737.34</v>
      </c>
      <c r="O186" s="1">
        <v>-37.369999999999997</v>
      </c>
    </row>
    <row r="187" spans="1:15" ht="15.75" customHeight="1" x14ac:dyDescent="0.25">
      <c r="A187">
        <v>93</v>
      </c>
      <c r="B187" t="s">
        <v>82</v>
      </c>
      <c r="C187" s="2">
        <v>45880.5625</v>
      </c>
      <c r="D187" t="s">
        <v>83</v>
      </c>
      <c r="E187">
        <v>119556.5</v>
      </c>
      <c r="F187">
        <v>0.100346</v>
      </c>
      <c r="G187">
        <v>11997.016549</v>
      </c>
      <c r="H187">
        <v>5.36</v>
      </c>
      <c r="I187" s="1">
        <v>0.04</v>
      </c>
      <c r="J187">
        <v>146.37</v>
      </c>
      <c r="K187" s="1">
        <v>1.22</v>
      </c>
      <c r="L187">
        <v>-129.47999999999999</v>
      </c>
      <c r="M187" s="1">
        <v>-1.08</v>
      </c>
      <c r="N187">
        <v>-3737.34</v>
      </c>
      <c r="O187" s="1">
        <v>-37.369999999999997</v>
      </c>
    </row>
    <row r="188" spans="1:15" ht="15.75" customHeight="1" x14ac:dyDescent="0.25">
      <c r="A188">
        <v>94</v>
      </c>
      <c r="B188" t="s">
        <v>80</v>
      </c>
      <c r="C188" s="2">
        <v>45881.604166666657</v>
      </c>
      <c r="D188" t="s">
        <v>81</v>
      </c>
      <c r="E188">
        <v>119407.5</v>
      </c>
      <c r="F188">
        <v>0.100346</v>
      </c>
      <c r="G188">
        <v>11997.016549</v>
      </c>
      <c r="H188">
        <v>5.36</v>
      </c>
      <c r="I188" s="1">
        <v>0.04</v>
      </c>
      <c r="J188">
        <v>146.37</v>
      </c>
      <c r="K188" s="1">
        <v>1.22</v>
      </c>
      <c r="L188">
        <v>-129.47999999999999</v>
      </c>
      <c r="M188" s="1">
        <v>-1.08</v>
      </c>
      <c r="N188">
        <v>-3727.18</v>
      </c>
      <c r="O188" s="1">
        <v>-37.270000000000003</v>
      </c>
    </row>
    <row r="189" spans="1:15" ht="15.75" customHeight="1" x14ac:dyDescent="0.25">
      <c r="A189">
        <v>94</v>
      </c>
      <c r="B189" t="s">
        <v>82</v>
      </c>
      <c r="C189" s="2">
        <v>45880.5625</v>
      </c>
      <c r="D189" t="s">
        <v>83</v>
      </c>
      <c r="E189">
        <v>119556.5</v>
      </c>
      <c r="F189">
        <v>0.100346</v>
      </c>
      <c r="G189">
        <v>11997.016549</v>
      </c>
      <c r="H189">
        <v>5.36</v>
      </c>
      <c r="I189" s="1">
        <v>0.04</v>
      </c>
      <c r="J189">
        <v>146.37</v>
      </c>
      <c r="K189" s="1">
        <v>1.22</v>
      </c>
      <c r="L189">
        <v>-129.47999999999999</v>
      </c>
      <c r="M189" s="1">
        <v>-1.08</v>
      </c>
      <c r="N189">
        <v>-3727.18</v>
      </c>
      <c r="O189" s="1">
        <v>-37.270000000000003</v>
      </c>
    </row>
    <row r="190" spans="1:15" ht="15.75" customHeight="1" x14ac:dyDescent="0.25">
      <c r="A190">
        <v>95</v>
      </c>
      <c r="B190" t="s">
        <v>76</v>
      </c>
      <c r="C190" s="2">
        <v>45882.28125</v>
      </c>
      <c r="D190" t="s">
        <v>81</v>
      </c>
      <c r="E190">
        <v>118830.7</v>
      </c>
      <c r="F190">
        <v>0.14061599999999999</v>
      </c>
      <c r="G190">
        <v>16689.572424000002</v>
      </c>
      <c r="H190">
        <v>6.57</v>
      </c>
      <c r="I190" s="1">
        <v>0.04</v>
      </c>
      <c r="J190">
        <v>215.64</v>
      </c>
      <c r="K190" s="1">
        <v>1.29</v>
      </c>
      <c r="L190">
        <v>-25.17</v>
      </c>
      <c r="M190" s="1">
        <v>-0.15</v>
      </c>
      <c r="N190">
        <v>-3727.29</v>
      </c>
      <c r="O190" s="1">
        <v>-37.270000000000003</v>
      </c>
    </row>
    <row r="191" spans="1:15" ht="15.75" customHeight="1" x14ac:dyDescent="0.25">
      <c r="A191">
        <v>95</v>
      </c>
      <c r="B191" t="s">
        <v>78</v>
      </c>
      <c r="C191" s="2">
        <v>45881.604166666657</v>
      </c>
      <c r="D191" t="s">
        <v>79</v>
      </c>
      <c r="E191">
        <v>118689</v>
      </c>
      <c r="F191">
        <v>0.14061599999999999</v>
      </c>
      <c r="G191">
        <v>16689.572424000002</v>
      </c>
      <c r="H191">
        <v>6.57</v>
      </c>
      <c r="I191" s="1">
        <v>0.04</v>
      </c>
      <c r="J191">
        <v>215.64</v>
      </c>
      <c r="K191" s="1">
        <v>1.29</v>
      </c>
      <c r="L191">
        <v>-25.17</v>
      </c>
      <c r="M191" s="1">
        <v>-0.15</v>
      </c>
      <c r="N191">
        <v>-3727.29</v>
      </c>
      <c r="O191" s="1">
        <v>-37.270000000000003</v>
      </c>
    </row>
    <row r="192" spans="1:15" ht="15.75" customHeight="1" x14ac:dyDescent="0.25">
      <c r="A192">
        <v>96</v>
      </c>
      <c r="B192" t="s">
        <v>76</v>
      </c>
      <c r="C192" s="2">
        <v>45882.28125</v>
      </c>
      <c r="D192" t="s">
        <v>81</v>
      </c>
      <c r="E192">
        <v>118830.7</v>
      </c>
      <c r="F192">
        <v>0.14061599999999999</v>
      </c>
      <c r="G192">
        <v>16689.572424000002</v>
      </c>
      <c r="H192">
        <v>6.57</v>
      </c>
      <c r="I192" s="1">
        <v>0.04</v>
      </c>
      <c r="J192">
        <v>215.64</v>
      </c>
      <c r="K192" s="1">
        <v>1.29</v>
      </c>
      <c r="L192">
        <v>-25.17</v>
      </c>
      <c r="M192" s="1">
        <v>-0.15</v>
      </c>
      <c r="N192">
        <v>-3714.05</v>
      </c>
      <c r="O192" s="1">
        <v>-37.14</v>
      </c>
    </row>
    <row r="193" spans="1:15" ht="15.75" customHeight="1" x14ac:dyDescent="0.25">
      <c r="A193">
        <v>96</v>
      </c>
      <c r="B193" t="s">
        <v>78</v>
      </c>
      <c r="C193" s="2">
        <v>45881.604166666657</v>
      </c>
      <c r="D193" t="s">
        <v>79</v>
      </c>
      <c r="E193">
        <v>118689</v>
      </c>
      <c r="F193">
        <v>0.14061599999999999</v>
      </c>
      <c r="G193">
        <v>16689.572424000002</v>
      </c>
      <c r="H193">
        <v>6.57</v>
      </c>
      <c r="I193" s="1">
        <v>0.04</v>
      </c>
      <c r="J193">
        <v>215.64</v>
      </c>
      <c r="K193" s="1">
        <v>1.29</v>
      </c>
      <c r="L193">
        <v>-25.17</v>
      </c>
      <c r="M193" s="1">
        <v>-0.15</v>
      </c>
      <c r="N193">
        <v>-3714.05</v>
      </c>
      <c r="O193" s="1">
        <v>-37.14</v>
      </c>
    </row>
    <row r="194" spans="1:15" ht="15.75" customHeight="1" x14ac:dyDescent="0.25">
      <c r="A194">
        <v>97</v>
      </c>
      <c r="B194" t="s">
        <v>80</v>
      </c>
      <c r="C194" s="2">
        <v>45882.416666666657</v>
      </c>
      <c r="D194" t="s">
        <v>77</v>
      </c>
      <c r="E194">
        <v>120136.2</v>
      </c>
      <c r="F194">
        <v>0.135653</v>
      </c>
      <c r="G194">
        <v>16146.695198199999</v>
      </c>
      <c r="H194">
        <v>-163.12</v>
      </c>
      <c r="I194" s="1">
        <v>-1.01</v>
      </c>
      <c r="J194">
        <v>11.88</v>
      </c>
      <c r="K194" s="1">
        <v>7.0000000000000007E-2</v>
      </c>
      <c r="L194">
        <v>-156.6</v>
      </c>
      <c r="M194" s="1">
        <v>-0.97</v>
      </c>
      <c r="N194">
        <v>-3883.63</v>
      </c>
      <c r="O194" s="1">
        <v>-38.840000000000003</v>
      </c>
    </row>
    <row r="195" spans="1:15" ht="15.75" customHeight="1" x14ac:dyDescent="0.25">
      <c r="A195">
        <v>97</v>
      </c>
      <c r="B195" t="s">
        <v>82</v>
      </c>
      <c r="C195" s="2">
        <v>45882.28125</v>
      </c>
      <c r="D195" t="s">
        <v>83</v>
      </c>
      <c r="E195">
        <v>119029.4</v>
      </c>
      <c r="F195">
        <v>0.135653</v>
      </c>
      <c r="G195">
        <v>16146.695198199999</v>
      </c>
      <c r="H195">
        <v>-163.12</v>
      </c>
      <c r="I195" s="1">
        <v>-1.01</v>
      </c>
      <c r="J195">
        <v>11.88</v>
      </c>
      <c r="K195" s="1">
        <v>7.0000000000000007E-2</v>
      </c>
      <c r="L195">
        <v>-156.6</v>
      </c>
      <c r="M195" s="1">
        <v>-0.97</v>
      </c>
      <c r="N195">
        <v>-3883.63</v>
      </c>
      <c r="O195" s="1">
        <v>-38.840000000000003</v>
      </c>
    </row>
    <row r="196" spans="1:15" ht="15.75" customHeight="1" x14ac:dyDescent="0.25">
      <c r="A196">
        <v>98</v>
      </c>
      <c r="B196" t="s">
        <v>80</v>
      </c>
      <c r="C196" s="2">
        <v>45882.416666666657</v>
      </c>
      <c r="D196" t="s">
        <v>77</v>
      </c>
      <c r="E196">
        <v>120136.2</v>
      </c>
      <c r="F196">
        <v>0.135653</v>
      </c>
      <c r="G196">
        <v>16146.695198199999</v>
      </c>
      <c r="H196">
        <v>-163.12</v>
      </c>
      <c r="I196" s="1">
        <v>-1.01</v>
      </c>
      <c r="J196">
        <v>11.88</v>
      </c>
      <c r="K196" s="1">
        <v>7.0000000000000007E-2</v>
      </c>
      <c r="L196">
        <v>-156.6</v>
      </c>
      <c r="M196" s="1">
        <v>-0.97</v>
      </c>
      <c r="N196">
        <v>-4040.29</v>
      </c>
      <c r="O196" s="1">
        <v>-40.4</v>
      </c>
    </row>
    <row r="197" spans="1:15" ht="15.75" customHeight="1" x14ac:dyDescent="0.25">
      <c r="A197">
        <v>98</v>
      </c>
      <c r="B197" t="s">
        <v>82</v>
      </c>
      <c r="C197" s="2">
        <v>45882.28125</v>
      </c>
      <c r="D197" t="s">
        <v>83</v>
      </c>
      <c r="E197">
        <v>119029.4</v>
      </c>
      <c r="F197">
        <v>0.135653</v>
      </c>
      <c r="G197">
        <v>16146.695198199999</v>
      </c>
      <c r="H197">
        <v>-163.12</v>
      </c>
      <c r="I197" s="1">
        <v>-1.01</v>
      </c>
      <c r="J197">
        <v>11.88</v>
      </c>
      <c r="K197" s="1">
        <v>7.0000000000000007E-2</v>
      </c>
      <c r="L197">
        <v>-156.6</v>
      </c>
      <c r="M197" s="1">
        <v>-0.97</v>
      </c>
      <c r="N197">
        <v>-4040.29</v>
      </c>
      <c r="O197" s="1">
        <v>-40.4</v>
      </c>
    </row>
    <row r="198" spans="1:15" ht="15.75" customHeight="1" x14ac:dyDescent="0.25">
      <c r="A198">
        <v>99</v>
      </c>
      <c r="B198" t="s">
        <v>80</v>
      </c>
      <c r="C198" s="2">
        <v>45882.614583333343</v>
      </c>
      <c r="D198" t="s">
        <v>77</v>
      </c>
      <c r="E198">
        <v>121120.6</v>
      </c>
      <c r="F198">
        <v>0.15054699999999999</v>
      </c>
      <c r="G198">
        <v>18084.187390399999</v>
      </c>
      <c r="H198">
        <v>-164.68</v>
      </c>
      <c r="I198" s="1">
        <v>-0.91</v>
      </c>
      <c r="J198">
        <v>48.05</v>
      </c>
      <c r="K198" s="1">
        <v>0.27</v>
      </c>
      <c r="L198">
        <v>-157.38999999999999</v>
      </c>
      <c r="M198" s="1">
        <v>-0.87</v>
      </c>
      <c r="N198">
        <v>-4212.2</v>
      </c>
      <c r="O198" s="1">
        <v>-42.12</v>
      </c>
    </row>
    <row r="199" spans="1:15" ht="15.75" customHeight="1" x14ac:dyDescent="0.25">
      <c r="A199">
        <v>99</v>
      </c>
      <c r="B199" t="s">
        <v>82</v>
      </c>
      <c r="C199" s="2">
        <v>45882.416666666657</v>
      </c>
      <c r="D199" t="s">
        <v>83</v>
      </c>
      <c r="E199">
        <v>120123.2</v>
      </c>
      <c r="F199">
        <v>0.15054699999999999</v>
      </c>
      <c r="G199">
        <v>18084.187390399999</v>
      </c>
      <c r="H199">
        <v>-164.68</v>
      </c>
      <c r="I199" s="1">
        <v>-0.91</v>
      </c>
      <c r="J199">
        <v>48.05</v>
      </c>
      <c r="K199" s="1">
        <v>0.27</v>
      </c>
      <c r="L199">
        <v>-157.38999999999999</v>
      </c>
      <c r="M199" s="1">
        <v>-0.87</v>
      </c>
      <c r="N199">
        <v>-4212.2</v>
      </c>
      <c r="O199" s="1">
        <v>-42.12</v>
      </c>
    </row>
    <row r="200" spans="1:15" ht="15.75" customHeight="1" x14ac:dyDescent="0.25">
      <c r="A200">
        <v>100</v>
      </c>
      <c r="B200" t="s">
        <v>80</v>
      </c>
      <c r="C200" s="2">
        <v>45882.614583333343</v>
      </c>
      <c r="D200" t="s">
        <v>77</v>
      </c>
      <c r="E200">
        <v>121120.6</v>
      </c>
      <c r="F200">
        <v>0.15054799999999999</v>
      </c>
      <c r="G200">
        <v>18084.307513600001</v>
      </c>
      <c r="H200">
        <v>-164.68</v>
      </c>
      <c r="I200" s="1">
        <v>-0.91</v>
      </c>
      <c r="J200">
        <v>48.05</v>
      </c>
      <c r="K200" s="1">
        <v>0.27</v>
      </c>
      <c r="L200">
        <v>-157.38999999999999</v>
      </c>
      <c r="M200" s="1">
        <v>-0.87</v>
      </c>
      <c r="N200">
        <v>-4369.66</v>
      </c>
      <c r="O200" s="1">
        <v>-43.7</v>
      </c>
    </row>
    <row r="201" spans="1:15" ht="15.75" customHeight="1" x14ac:dyDescent="0.25">
      <c r="A201">
        <v>100</v>
      </c>
      <c r="B201" t="s">
        <v>82</v>
      </c>
      <c r="C201" s="2">
        <v>45882.416666666657</v>
      </c>
      <c r="D201" t="s">
        <v>83</v>
      </c>
      <c r="E201">
        <v>120123.2</v>
      </c>
      <c r="F201">
        <v>0.15054799999999999</v>
      </c>
      <c r="G201">
        <v>18084.307513600001</v>
      </c>
      <c r="H201">
        <v>-164.68</v>
      </c>
      <c r="I201" s="1">
        <v>-0.91</v>
      </c>
      <c r="J201">
        <v>48.05</v>
      </c>
      <c r="K201" s="1">
        <v>0.27</v>
      </c>
      <c r="L201">
        <v>-157.38999999999999</v>
      </c>
      <c r="M201" s="1">
        <v>-0.87</v>
      </c>
      <c r="N201">
        <v>-4369.66</v>
      </c>
      <c r="O201" s="1">
        <v>-43.7</v>
      </c>
    </row>
    <row r="202" spans="1:15" ht="15.75" customHeight="1" x14ac:dyDescent="0.25">
      <c r="A202">
        <v>101</v>
      </c>
      <c r="B202" t="s">
        <v>76</v>
      </c>
      <c r="C202" s="2">
        <v>45883.291666666657</v>
      </c>
      <c r="D202" t="s">
        <v>81</v>
      </c>
      <c r="E202">
        <v>121934.6</v>
      </c>
      <c r="F202">
        <v>0.127107</v>
      </c>
      <c r="G202">
        <v>15478.810824599999</v>
      </c>
      <c r="H202">
        <v>7.54</v>
      </c>
      <c r="I202" s="1">
        <v>0.05</v>
      </c>
      <c r="J202">
        <v>345.62</v>
      </c>
      <c r="K202" s="1">
        <v>2.23</v>
      </c>
      <c r="L202">
        <v>-198.76</v>
      </c>
      <c r="M202" s="1">
        <v>-1.28</v>
      </c>
      <c r="N202">
        <v>-4368.3100000000004</v>
      </c>
      <c r="O202" s="1">
        <v>-43.68</v>
      </c>
    </row>
    <row r="203" spans="1:15" ht="15.75" customHeight="1" x14ac:dyDescent="0.25">
      <c r="A203">
        <v>101</v>
      </c>
      <c r="B203" t="s">
        <v>78</v>
      </c>
      <c r="C203" s="2">
        <v>45882.614583333343</v>
      </c>
      <c r="D203" t="s">
        <v>79</v>
      </c>
      <c r="E203">
        <v>121777.8</v>
      </c>
      <c r="F203">
        <v>0.127107</v>
      </c>
      <c r="G203">
        <v>15478.810824599999</v>
      </c>
      <c r="H203">
        <v>7.54</v>
      </c>
      <c r="I203" s="1">
        <v>0.05</v>
      </c>
      <c r="J203">
        <v>345.62</v>
      </c>
      <c r="K203" s="1">
        <v>2.23</v>
      </c>
      <c r="L203">
        <v>-198.76</v>
      </c>
      <c r="M203" s="1">
        <v>-1.28</v>
      </c>
      <c r="N203">
        <v>-4368.3100000000004</v>
      </c>
      <c r="O203" s="1">
        <v>-43.68</v>
      </c>
    </row>
    <row r="204" spans="1:15" ht="15.75" customHeight="1" x14ac:dyDescent="0.25">
      <c r="A204">
        <v>102</v>
      </c>
      <c r="B204" t="s">
        <v>76</v>
      </c>
      <c r="C204" s="2">
        <v>45883.291666666657</v>
      </c>
      <c r="D204" t="s">
        <v>81</v>
      </c>
      <c r="E204">
        <v>121934.6</v>
      </c>
      <c r="F204">
        <v>0.127107</v>
      </c>
      <c r="G204">
        <v>15478.810824599999</v>
      </c>
      <c r="H204">
        <v>7.54</v>
      </c>
      <c r="I204" s="1">
        <v>0.05</v>
      </c>
      <c r="J204">
        <v>345.62</v>
      </c>
      <c r="K204" s="1">
        <v>2.23</v>
      </c>
      <c r="L204">
        <v>-198.76</v>
      </c>
      <c r="M204" s="1">
        <v>-1.28</v>
      </c>
      <c r="N204">
        <v>-4354.58</v>
      </c>
      <c r="O204" s="1">
        <v>-43.55</v>
      </c>
    </row>
    <row r="205" spans="1:15" ht="15.75" customHeight="1" x14ac:dyDescent="0.25">
      <c r="A205">
        <v>102</v>
      </c>
      <c r="B205" t="s">
        <v>78</v>
      </c>
      <c r="C205" s="2">
        <v>45882.614583333343</v>
      </c>
      <c r="D205" t="s">
        <v>79</v>
      </c>
      <c r="E205">
        <v>121777.8</v>
      </c>
      <c r="F205">
        <v>0.127107</v>
      </c>
      <c r="G205">
        <v>15478.810824599999</v>
      </c>
      <c r="H205">
        <v>7.54</v>
      </c>
      <c r="I205" s="1">
        <v>0.05</v>
      </c>
      <c r="J205">
        <v>345.62</v>
      </c>
      <c r="K205" s="1">
        <v>2.23</v>
      </c>
      <c r="L205">
        <v>-198.76</v>
      </c>
      <c r="M205" s="1">
        <v>-1.28</v>
      </c>
      <c r="N205">
        <v>-4354.58</v>
      </c>
      <c r="O205" s="1">
        <v>-43.55</v>
      </c>
    </row>
    <row r="206" spans="1:15" ht="15.75" customHeight="1" x14ac:dyDescent="0.25">
      <c r="A206">
        <v>103</v>
      </c>
      <c r="B206" t="s">
        <v>80</v>
      </c>
      <c r="C206" s="2">
        <v>45883.5625</v>
      </c>
      <c r="D206" t="s">
        <v>84</v>
      </c>
      <c r="E206">
        <v>117633.9</v>
      </c>
      <c r="F206">
        <v>0.10849399999999999</v>
      </c>
      <c r="G206">
        <v>13212.5186634</v>
      </c>
      <c r="H206">
        <v>439.56</v>
      </c>
      <c r="I206" s="1">
        <v>3.33</v>
      </c>
      <c r="J206">
        <v>444.66</v>
      </c>
      <c r="K206" s="1">
        <v>3.36</v>
      </c>
      <c r="L206">
        <v>-37.89</v>
      </c>
      <c r="M206" s="1">
        <v>-0.28999999999999998</v>
      </c>
      <c r="N206">
        <v>-3920.31</v>
      </c>
      <c r="O206" s="1">
        <v>-39.200000000000003</v>
      </c>
    </row>
    <row r="207" spans="1:15" ht="15.75" customHeight="1" x14ac:dyDescent="0.25">
      <c r="A207">
        <v>103</v>
      </c>
      <c r="B207" t="s">
        <v>82</v>
      </c>
      <c r="C207" s="2">
        <v>45883.291666666657</v>
      </c>
      <c r="D207" t="s">
        <v>83</v>
      </c>
      <c r="E207">
        <v>121781.1</v>
      </c>
      <c r="F207">
        <v>0.10849399999999999</v>
      </c>
      <c r="G207">
        <v>13212.5186634</v>
      </c>
      <c r="H207">
        <v>439.56</v>
      </c>
      <c r="I207" s="1">
        <v>3.33</v>
      </c>
      <c r="J207">
        <v>444.66</v>
      </c>
      <c r="K207" s="1">
        <v>3.36</v>
      </c>
      <c r="L207">
        <v>-37.89</v>
      </c>
      <c r="M207" s="1">
        <v>-0.28999999999999998</v>
      </c>
      <c r="N207">
        <v>-3920.31</v>
      </c>
      <c r="O207" s="1">
        <v>-39.200000000000003</v>
      </c>
    </row>
    <row r="208" spans="1:15" ht="15.75" customHeight="1" x14ac:dyDescent="0.25">
      <c r="A208">
        <v>104</v>
      </c>
      <c r="B208" t="s">
        <v>80</v>
      </c>
      <c r="C208" s="2">
        <v>45883.5625</v>
      </c>
      <c r="D208" t="s">
        <v>85</v>
      </c>
      <c r="E208">
        <v>119479</v>
      </c>
      <c r="F208">
        <v>0.10849499999999999</v>
      </c>
      <c r="G208">
        <v>13212.640444500001</v>
      </c>
      <c r="H208">
        <v>239.3</v>
      </c>
      <c r="I208" s="1">
        <v>1.81</v>
      </c>
      <c r="J208">
        <v>468.96</v>
      </c>
      <c r="K208" s="1">
        <v>3.55</v>
      </c>
      <c r="L208">
        <v>-37.89</v>
      </c>
      <c r="M208" s="1">
        <v>-0.28999999999999998</v>
      </c>
      <c r="N208">
        <v>-3675.72</v>
      </c>
      <c r="O208" s="1">
        <v>-36.76</v>
      </c>
    </row>
    <row r="209" spans="1:15" ht="15.75" customHeight="1" x14ac:dyDescent="0.25">
      <c r="A209">
        <v>104</v>
      </c>
      <c r="B209" t="s">
        <v>82</v>
      </c>
      <c r="C209" s="2">
        <v>45883.291666666657</v>
      </c>
      <c r="D209" t="s">
        <v>83</v>
      </c>
      <c r="E209">
        <v>121781.1</v>
      </c>
      <c r="F209">
        <v>0.10849499999999999</v>
      </c>
      <c r="G209">
        <v>13212.640444500001</v>
      </c>
      <c r="H209">
        <v>239.3</v>
      </c>
      <c r="I209" s="1">
        <v>1.81</v>
      </c>
      <c r="J209">
        <v>468.96</v>
      </c>
      <c r="K209" s="1">
        <v>3.55</v>
      </c>
      <c r="L209">
        <v>-37.89</v>
      </c>
      <c r="M209" s="1">
        <v>-0.28999999999999998</v>
      </c>
      <c r="N209">
        <v>-3675.72</v>
      </c>
      <c r="O209" s="1">
        <v>-36.76</v>
      </c>
    </row>
    <row r="210" spans="1:15" ht="15.75" customHeight="1" x14ac:dyDescent="0.25">
      <c r="A210">
        <v>105</v>
      </c>
      <c r="B210" t="s">
        <v>80</v>
      </c>
      <c r="C210" s="2">
        <v>45891.5625</v>
      </c>
      <c r="D210" t="s">
        <v>84</v>
      </c>
      <c r="E210">
        <v>111627.5</v>
      </c>
      <c r="F210">
        <v>6.2546000000000004E-2</v>
      </c>
      <c r="G210">
        <v>7431.8220482000006</v>
      </c>
      <c r="H210">
        <v>444.2</v>
      </c>
      <c r="I210" s="1">
        <v>5.97</v>
      </c>
      <c r="J210">
        <v>447</v>
      </c>
      <c r="K210" s="1">
        <v>6.01</v>
      </c>
      <c r="L210">
        <v>-33.76</v>
      </c>
      <c r="M210" s="1">
        <v>-0.45</v>
      </c>
      <c r="N210">
        <v>-3234.49</v>
      </c>
      <c r="O210" s="1">
        <v>-32.340000000000003</v>
      </c>
    </row>
    <row r="211" spans="1:15" ht="15.75" customHeight="1" x14ac:dyDescent="0.25">
      <c r="A211">
        <v>105</v>
      </c>
      <c r="B211" t="s">
        <v>82</v>
      </c>
      <c r="C211" s="2">
        <v>45883.572916666657</v>
      </c>
      <c r="D211" t="s">
        <v>83</v>
      </c>
      <c r="E211">
        <v>118821.7</v>
      </c>
      <c r="F211">
        <v>6.2546000000000004E-2</v>
      </c>
      <c r="G211">
        <v>7431.8220482000006</v>
      </c>
      <c r="H211">
        <v>444.2</v>
      </c>
      <c r="I211" s="1">
        <v>5.97</v>
      </c>
      <c r="J211">
        <v>447</v>
      </c>
      <c r="K211" s="1">
        <v>6.01</v>
      </c>
      <c r="L211">
        <v>-33.76</v>
      </c>
      <c r="M211" s="1">
        <v>-0.45</v>
      </c>
      <c r="N211">
        <v>-3234.49</v>
      </c>
      <c r="O211" s="1">
        <v>-32.340000000000003</v>
      </c>
    </row>
    <row r="212" spans="1:15" ht="15.75" customHeight="1" x14ac:dyDescent="0.25">
      <c r="A212">
        <v>106</v>
      </c>
      <c r="B212" t="s">
        <v>80</v>
      </c>
      <c r="C212" s="2">
        <v>45891.666666666657</v>
      </c>
      <c r="D212" t="s">
        <v>85</v>
      </c>
      <c r="E212">
        <v>116423.9</v>
      </c>
      <c r="F212">
        <v>6.2546000000000004E-2</v>
      </c>
      <c r="G212">
        <v>7431.8220482000006</v>
      </c>
      <c r="H212">
        <v>144.09</v>
      </c>
      <c r="I212" s="1">
        <v>1.94</v>
      </c>
      <c r="J212">
        <v>447.1</v>
      </c>
      <c r="K212" s="1">
        <v>6.01</v>
      </c>
      <c r="L212">
        <v>-33.76</v>
      </c>
      <c r="M212" s="1">
        <v>-0.45</v>
      </c>
      <c r="N212">
        <v>-3087.43</v>
      </c>
      <c r="O212" s="1">
        <v>-30.87</v>
      </c>
    </row>
    <row r="213" spans="1:15" ht="15.75" customHeight="1" x14ac:dyDescent="0.25">
      <c r="A213">
        <v>106</v>
      </c>
      <c r="B213" t="s">
        <v>82</v>
      </c>
      <c r="C213" s="2">
        <v>45883.572916666657</v>
      </c>
      <c r="D213" t="s">
        <v>83</v>
      </c>
      <c r="E213">
        <v>118821.7</v>
      </c>
      <c r="F213">
        <v>6.2546000000000004E-2</v>
      </c>
      <c r="G213">
        <v>7431.8220482000006</v>
      </c>
      <c r="H213">
        <v>144.09</v>
      </c>
      <c r="I213" s="1">
        <v>1.94</v>
      </c>
      <c r="J213">
        <v>447.1</v>
      </c>
      <c r="K213" s="1">
        <v>6.01</v>
      </c>
      <c r="L213">
        <v>-33.76</v>
      </c>
      <c r="M213" s="1">
        <v>-0.45</v>
      </c>
      <c r="N213">
        <v>-3087.43</v>
      </c>
      <c r="O213" s="1">
        <v>-30.87</v>
      </c>
    </row>
    <row r="214" spans="1:15" ht="15.75" customHeight="1" x14ac:dyDescent="0.25">
      <c r="A214">
        <v>107</v>
      </c>
      <c r="B214" t="s">
        <v>76</v>
      </c>
      <c r="C214" s="2">
        <v>45893.739583333343</v>
      </c>
      <c r="D214" t="s">
        <v>77</v>
      </c>
      <c r="E214">
        <v>114247.7</v>
      </c>
      <c r="F214">
        <v>8.6087999999999998E-2</v>
      </c>
      <c r="G214">
        <v>10035.441727199999</v>
      </c>
      <c r="H214">
        <v>-208.03</v>
      </c>
      <c r="I214" s="1">
        <v>-2.0699999999999998</v>
      </c>
      <c r="J214">
        <v>67.05</v>
      </c>
      <c r="K214" s="1">
        <v>0.67</v>
      </c>
      <c r="L214">
        <v>-204.1</v>
      </c>
      <c r="M214" s="1">
        <v>-2.0299999999999998</v>
      </c>
      <c r="N214">
        <v>-3299.48</v>
      </c>
      <c r="O214" s="1">
        <v>-32.99</v>
      </c>
    </row>
    <row r="215" spans="1:15" ht="15.75" customHeight="1" x14ac:dyDescent="0.25">
      <c r="A215">
        <v>107</v>
      </c>
      <c r="B215" t="s">
        <v>78</v>
      </c>
      <c r="C215" s="2">
        <v>45891.666666666657</v>
      </c>
      <c r="D215" t="s">
        <v>79</v>
      </c>
      <c r="E215">
        <v>116571.9</v>
      </c>
      <c r="F215">
        <v>8.6087999999999998E-2</v>
      </c>
      <c r="G215">
        <v>10035.441727199999</v>
      </c>
      <c r="H215">
        <v>-208.03</v>
      </c>
      <c r="I215" s="1">
        <v>-2.0699999999999998</v>
      </c>
      <c r="J215">
        <v>67.05</v>
      </c>
      <c r="K215" s="1">
        <v>0.67</v>
      </c>
      <c r="L215">
        <v>-204.1</v>
      </c>
      <c r="M215" s="1">
        <v>-2.0299999999999998</v>
      </c>
      <c r="N215">
        <v>-3299.48</v>
      </c>
      <c r="O215" s="1">
        <v>-32.99</v>
      </c>
    </row>
    <row r="216" spans="1:15" ht="15.75" customHeight="1" x14ac:dyDescent="0.25">
      <c r="A216">
        <v>108</v>
      </c>
      <c r="B216" t="s">
        <v>76</v>
      </c>
      <c r="C216" s="2">
        <v>45893.739583333343</v>
      </c>
      <c r="D216" t="s">
        <v>77</v>
      </c>
      <c r="E216">
        <v>114247.7</v>
      </c>
      <c r="F216">
        <v>8.6088999999999999E-2</v>
      </c>
      <c r="G216">
        <v>10035.558299099999</v>
      </c>
      <c r="H216">
        <v>-208.04</v>
      </c>
      <c r="I216" s="1">
        <v>-2.0699999999999998</v>
      </c>
      <c r="J216">
        <v>67.05</v>
      </c>
      <c r="K216" s="1">
        <v>0.67</v>
      </c>
      <c r="L216">
        <v>-204.1</v>
      </c>
      <c r="M216" s="1">
        <v>-2.0299999999999998</v>
      </c>
      <c r="N216">
        <v>-3503.5</v>
      </c>
      <c r="O216" s="1">
        <v>-35.04</v>
      </c>
    </row>
    <row r="217" spans="1:15" ht="15.75" customHeight="1" x14ac:dyDescent="0.25">
      <c r="A217">
        <v>108</v>
      </c>
      <c r="B217" t="s">
        <v>78</v>
      </c>
      <c r="C217" s="2">
        <v>45891.666666666657</v>
      </c>
      <c r="D217" t="s">
        <v>79</v>
      </c>
      <c r="E217">
        <v>116571.9</v>
      </c>
      <c r="F217">
        <v>8.6088999999999999E-2</v>
      </c>
      <c r="G217">
        <v>10035.558299099999</v>
      </c>
      <c r="H217">
        <v>-208.04</v>
      </c>
      <c r="I217" s="1">
        <v>-2.0699999999999998</v>
      </c>
      <c r="J217">
        <v>67.05</v>
      </c>
      <c r="K217" s="1">
        <v>0.67</v>
      </c>
      <c r="L217">
        <v>-204.1</v>
      </c>
      <c r="M217" s="1">
        <v>-2.0299999999999998</v>
      </c>
      <c r="N217">
        <v>-3503.5</v>
      </c>
      <c r="O217" s="1">
        <v>-35.04</v>
      </c>
    </row>
    <row r="218" spans="1:15" ht="15.75" customHeight="1" x14ac:dyDescent="0.25">
      <c r="A218">
        <v>109</v>
      </c>
      <c r="B218" t="s">
        <v>80</v>
      </c>
      <c r="C218" s="2">
        <v>45893.854166666657</v>
      </c>
      <c r="D218" t="s">
        <v>84</v>
      </c>
      <c r="E218">
        <v>112060.4</v>
      </c>
      <c r="F218">
        <v>0.205151</v>
      </c>
      <c r="G218">
        <v>23439.199263400002</v>
      </c>
      <c r="H218">
        <v>431.32</v>
      </c>
      <c r="I218" s="1">
        <v>1.84</v>
      </c>
      <c r="J218">
        <v>440.52</v>
      </c>
      <c r="K218" s="1">
        <v>1.88</v>
      </c>
      <c r="L218">
        <v>-145.06</v>
      </c>
      <c r="M218" s="1">
        <v>-0.62</v>
      </c>
      <c r="N218">
        <v>-3081.56</v>
      </c>
      <c r="O218" s="1">
        <v>-30.82</v>
      </c>
    </row>
    <row r="219" spans="1:15" ht="15.75" customHeight="1" x14ac:dyDescent="0.25">
      <c r="A219">
        <v>109</v>
      </c>
      <c r="B219" t="s">
        <v>82</v>
      </c>
      <c r="C219" s="2">
        <v>45893.739583333343</v>
      </c>
      <c r="D219" t="s">
        <v>83</v>
      </c>
      <c r="E219">
        <v>114253.4</v>
      </c>
      <c r="F219">
        <v>0.205151</v>
      </c>
      <c r="G219">
        <v>23439.199263400002</v>
      </c>
      <c r="H219">
        <v>431.32</v>
      </c>
      <c r="I219" s="1">
        <v>1.84</v>
      </c>
      <c r="J219">
        <v>440.52</v>
      </c>
      <c r="K219" s="1">
        <v>1.88</v>
      </c>
      <c r="L219">
        <v>-145.06</v>
      </c>
      <c r="M219" s="1">
        <v>-0.62</v>
      </c>
      <c r="N219">
        <v>-3081.56</v>
      </c>
      <c r="O219" s="1">
        <v>-30.82</v>
      </c>
    </row>
    <row r="220" spans="1:15" ht="15.75" customHeight="1" x14ac:dyDescent="0.25">
      <c r="A220">
        <v>110</v>
      </c>
      <c r="B220" t="s">
        <v>80</v>
      </c>
      <c r="C220" s="2">
        <v>45893.854166666657</v>
      </c>
      <c r="D220" t="s">
        <v>85</v>
      </c>
      <c r="E220">
        <v>113024.2</v>
      </c>
      <c r="F220">
        <v>0.205152</v>
      </c>
      <c r="G220">
        <v>23439.313516800001</v>
      </c>
      <c r="H220">
        <v>233.52</v>
      </c>
      <c r="I220" s="1">
        <v>1</v>
      </c>
      <c r="J220">
        <v>763.92</v>
      </c>
      <c r="K220" s="1">
        <v>3.26</v>
      </c>
      <c r="L220">
        <v>-145.06</v>
      </c>
      <c r="M220" s="1">
        <v>-0.62</v>
      </c>
      <c r="N220">
        <v>-2838.66</v>
      </c>
      <c r="O220" s="1">
        <v>-28.39</v>
      </c>
    </row>
    <row r="221" spans="1:15" ht="15.75" customHeight="1" x14ac:dyDescent="0.25">
      <c r="A221">
        <v>110</v>
      </c>
      <c r="B221" t="s">
        <v>82</v>
      </c>
      <c r="C221" s="2">
        <v>45893.739583333343</v>
      </c>
      <c r="D221" t="s">
        <v>83</v>
      </c>
      <c r="E221">
        <v>114253.4</v>
      </c>
      <c r="F221">
        <v>0.205152</v>
      </c>
      <c r="G221">
        <v>23439.313516800001</v>
      </c>
      <c r="H221">
        <v>233.52</v>
      </c>
      <c r="I221" s="1">
        <v>1</v>
      </c>
      <c r="J221">
        <v>763.92</v>
      </c>
      <c r="K221" s="1">
        <v>3.26</v>
      </c>
      <c r="L221">
        <v>-145.06</v>
      </c>
      <c r="M221" s="1">
        <v>-0.62</v>
      </c>
      <c r="N221">
        <v>-2838.66</v>
      </c>
      <c r="O221" s="1">
        <v>-28.39</v>
      </c>
    </row>
    <row r="222" spans="1:15" ht="15.75" customHeight="1" x14ac:dyDescent="0.25">
      <c r="A222">
        <v>111</v>
      </c>
      <c r="B222" t="s">
        <v>80</v>
      </c>
      <c r="C222" s="2">
        <v>45896.645833333343</v>
      </c>
      <c r="D222" t="s">
        <v>81</v>
      </c>
      <c r="E222">
        <v>112333.2</v>
      </c>
      <c r="F222">
        <v>6.7211999999999994E-2</v>
      </c>
      <c r="G222">
        <v>7565.1071507999986</v>
      </c>
      <c r="H222">
        <v>8.92</v>
      </c>
      <c r="I222" s="1">
        <v>0.12</v>
      </c>
      <c r="J222">
        <v>265.57</v>
      </c>
      <c r="K222" s="1">
        <v>3.51</v>
      </c>
      <c r="L222">
        <v>-76.33</v>
      </c>
      <c r="M222" s="1">
        <v>-1.01</v>
      </c>
      <c r="N222">
        <v>-2832.76</v>
      </c>
      <c r="O222" s="1">
        <v>-28.33</v>
      </c>
    </row>
    <row r="223" spans="1:15" ht="15.75" customHeight="1" x14ac:dyDescent="0.25">
      <c r="A223">
        <v>111</v>
      </c>
      <c r="B223" t="s">
        <v>82</v>
      </c>
      <c r="C223" s="2">
        <v>45893.864583333343</v>
      </c>
      <c r="D223" t="s">
        <v>83</v>
      </c>
      <c r="E223">
        <v>112555.9</v>
      </c>
      <c r="F223">
        <v>6.7211999999999994E-2</v>
      </c>
      <c r="G223">
        <v>7565.1071507999986</v>
      </c>
      <c r="H223">
        <v>8.92</v>
      </c>
      <c r="I223" s="1">
        <v>0.12</v>
      </c>
      <c r="J223">
        <v>265.57</v>
      </c>
      <c r="K223" s="1">
        <v>3.51</v>
      </c>
      <c r="L223">
        <v>-76.33</v>
      </c>
      <c r="M223" s="1">
        <v>-1.01</v>
      </c>
      <c r="N223">
        <v>-2832.76</v>
      </c>
      <c r="O223" s="1">
        <v>-28.33</v>
      </c>
    </row>
    <row r="224" spans="1:15" ht="15.75" customHeight="1" x14ac:dyDescent="0.25">
      <c r="A224">
        <v>112</v>
      </c>
      <c r="B224" t="s">
        <v>80</v>
      </c>
      <c r="C224" s="2">
        <v>45896.645833333343</v>
      </c>
      <c r="D224" t="s">
        <v>81</v>
      </c>
      <c r="E224">
        <v>112333.2</v>
      </c>
      <c r="F224">
        <v>6.7211999999999994E-2</v>
      </c>
      <c r="G224">
        <v>7565.1071507999986</v>
      </c>
      <c r="H224">
        <v>8.92</v>
      </c>
      <c r="I224" s="1">
        <v>0.12</v>
      </c>
      <c r="J224">
        <v>265.57</v>
      </c>
      <c r="K224" s="1">
        <v>3.51</v>
      </c>
      <c r="L224">
        <v>-76.33</v>
      </c>
      <c r="M224" s="1">
        <v>-1.01</v>
      </c>
      <c r="N224">
        <v>-2820.81</v>
      </c>
      <c r="O224" s="1">
        <v>-28.21</v>
      </c>
    </row>
    <row r="225" spans="1:15" ht="15.75" customHeight="1" x14ac:dyDescent="0.25">
      <c r="A225">
        <v>112</v>
      </c>
      <c r="B225" t="s">
        <v>82</v>
      </c>
      <c r="C225" s="2">
        <v>45893.864583333343</v>
      </c>
      <c r="D225" t="s">
        <v>83</v>
      </c>
      <c r="E225">
        <v>112555.9</v>
      </c>
      <c r="F225">
        <v>6.7211999999999994E-2</v>
      </c>
      <c r="G225">
        <v>7565.1071507999986</v>
      </c>
      <c r="H225">
        <v>8.92</v>
      </c>
      <c r="I225" s="1">
        <v>0.12</v>
      </c>
      <c r="J225">
        <v>265.57</v>
      </c>
      <c r="K225" s="1">
        <v>3.51</v>
      </c>
      <c r="L225">
        <v>-76.33</v>
      </c>
      <c r="M225" s="1">
        <v>-1.01</v>
      </c>
      <c r="N225">
        <v>-2820.81</v>
      </c>
      <c r="O225" s="1">
        <v>-28.21</v>
      </c>
    </row>
    <row r="226" spans="1:15" ht="15.75" customHeight="1" x14ac:dyDescent="0.25">
      <c r="A226">
        <v>113</v>
      </c>
      <c r="B226" t="s">
        <v>76</v>
      </c>
      <c r="C226" s="2">
        <v>45897.854166666657</v>
      </c>
      <c r="D226" t="s">
        <v>81</v>
      </c>
      <c r="E226">
        <v>112005.2</v>
      </c>
      <c r="F226">
        <v>0.14128199999999999</v>
      </c>
      <c r="G226">
        <v>15804.3837762</v>
      </c>
      <c r="H226">
        <v>7.28</v>
      </c>
      <c r="I226" s="1">
        <v>0.05</v>
      </c>
      <c r="J226">
        <v>214.77</v>
      </c>
      <c r="K226" s="1">
        <v>1.36</v>
      </c>
      <c r="L226">
        <v>-155.11000000000001</v>
      </c>
      <c r="M226" s="1">
        <v>-0.98</v>
      </c>
      <c r="N226">
        <v>-2819.85</v>
      </c>
      <c r="O226" s="1">
        <v>-28.2</v>
      </c>
    </row>
    <row r="227" spans="1:15" ht="15.75" customHeight="1" x14ac:dyDescent="0.25">
      <c r="A227">
        <v>113</v>
      </c>
      <c r="B227" t="s">
        <v>78</v>
      </c>
      <c r="C227" s="2">
        <v>45896.645833333343</v>
      </c>
      <c r="D227" t="s">
        <v>79</v>
      </c>
      <c r="E227">
        <v>111864.1</v>
      </c>
      <c r="F227">
        <v>0.14128199999999999</v>
      </c>
      <c r="G227">
        <v>15804.3837762</v>
      </c>
      <c r="H227">
        <v>7.28</v>
      </c>
      <c r="I227" s="1">
        <v>0.05</v>
      </c>
      <c r="J227">
        <v>214.77</v>
      </c>
      <c r="K227" s="1">
        <v>1.36</v>
      </c>
      <c r="L227">
        <v>-155.11000000000001</v>
      </c>
      <c r="M227" s="1">
        <v>-0.98</v>
      </c>
      <c r="N227">
        <v>-2819.85</v>
      </c>
      <c r="O227" s="1">
        <v>-28.2</v>
      </c>
    </row>
    <row r="228" spans="1:15" ht="15.75" customHeight="1" x14ac:dyDescent="0.25">
      <c r="A228">
        <v>114</v>
      </c>
      <c r="B228" t="s">
        <v>76</v>
      </c>
      <c r="C228" s="2">
        <v>45897.854166666657</v>
      </c>
      <c r="D228" t="s">
        <v>81</v>
      </c>
      <c r="E228">
        <v>112005.2</v>
      </c>
      <c r="F228">
        <v>0.14128199999999999</v>
      </c>
      <c r="G228">
        <v>15804.3837762</v>
      </c>
      <c r="H228">
        <v>7.28</v>
      </c>
      <c r="I228" s="1">
        <v>0.05</v>
      </c>
      <c r="J228">
        <v>214.77</v>
      </c>
      <c r="K228" s="1">
        <v>1.36</v>
      </c>
      <c r="L228">
        <v>-155.11000000000001</v>
      </c>
      <c r="M228" s="1">
        <v>-0.98</v>
      </c>
      <c r="N228">
        <v>-2806.25</v>
      </c>
      <c r="O228" s="1">
        <v>-28.06</v>
      </c>
    </row>
    <row r="229" spans="1:15" ht="15.75" customHeight="1" x14ac:dyDescent="0.25">
      <c r="A229">
        <v>114</v>
      </c>
      <c r="B229" t="s">
        <v>78</v>
      </c>
      <c r="C229" s="2">
        <v>45896.645833333343</v>
      </c>
      <c r="D229" t="s">
        <v>79</v>
      </c>
      <c r="E229">
        <v>111864.1</v>
      </c>
      <c r="F229">
        <v>0.14128199999999999</v>
      </c>
      <c r="G229">
        <v>15804.3837762</v>
      </c>
      <c r="H229">
        <v>7.28</v>
      </c>
      <c r="I229" s="1">
        <v>0.05</v>
      </c>
      <c r="J229">
        <v>214.77</v>
      </c>
      <c r="K229" s="1">
        <v>1.36</v>
      </c>
      <c r="L229">
        <v>-155.11000000000001</v>
      </c>
      <c r="M229" s="1">
        <v>-0.98</v>
      </c>
      <c r="N229">
        <v>-2806.25</v>
      </c>
      <c r="O229" s="1">
        <v>-28.06</v>
      </c>
    </row>
    <row r="230" spans="1:15" ht="15.75" customHeight="1" x14ac:dyDescent="0.25">
      <c r="A230">
        <v>115</v>
      </c>
      <c r="B230" t="s">
        <v>80</v>
      </c>
      <c r="C230" s="2">
        <v>45898.635416666657</v>
      </c>
      <c r="D230" t="s">
        <v>84</v>
      </c>
      <c r="E230">
        <v>108325.3</v>
      </c>
      <c r="F230">
        <v>0.122586</v>
      </c>
      <c r="G230">
        <v>13729.1048802</v>
      </c>
      <c r="H230">
        <v>439.14</v>
      </c>
      <c r="I230" s="1">
        <v>3.2</v>
      </c>
      <c r="J230">
        <v>444.45</v>
      </c>
      <c r="K230" s="1">
        <v>3.24</v>
      </c>
      <c r="L230">
        <v>-77.819999999999993</v>
      </c>
      <c r="M230" s="1">
        <v>-0.56999999999999995</v>
      </c>
      <c r="N230">
        <v>-2372.6</v>
      </c>
      <c r="O230" s="1">
        <v>-23.73</v>
      </c>
    </row>
    <row r="231" spans="1:15" ht="15.75" customHeight="1" x14ac:dyDescent="0.25">
      <c r="A231">
        <v>115</v>
      </c>
      <c r="B231" t="s">
        <v>82</v>
      </c>
      <c r="C231" s="2">
        <v>45897.854166666657</v>
      </c>
      <c r="D231" t="s">
        <v>83</v>
      </c>
      <c r="E231">
        <v>111995.7</v>
      </c>
      <c r="F231">
        <v>0.122586</v>
      </c>
      <c r="G231">
        <v>13729.1048802</v>
      </c>
      <c r="H231">
        <v>439.14</v>
      </c>
      <c r="I231" s="1">
        <v>3.2</v>
      </c>
      <c r="J231">
        <v>444.45</v>
      </c>
      <c r="K231" s="1">
        <v>3.24</v>
      </c>
      <c r="L231">
        <v>-77.819999999999993</v>
      </c>
      <c r="M231" s="1">
        <v>-0.56999999999999995</v>
      </c>
      <c r="N231">
        <v>-2372.6</v>
      </c>
      <c r="O231" s="1">
        <v>-23.73</v>
      </c>
    </row>
    <row r="232" spans="1:15" ht="15.75" customHeight="1" x14ac:dyDescent="0.25">
      <c r="A232">
        <v>116</v>
      </c>
      <c r="B232" t="s">
        <v>80</v>
      </c>
      <c r="C232" s="2">
        <v>45901.375</v>
      </c>
      <c r="D232" t="s">
        <v>85</v>
      </c>
      <c r="E232">
        <v>109660.3</v>
      </c>
      <c r="F232">
        <v>0.122586</v>
      </c>
      <c r="G232">
        <v>13729.1048802</v>
      </c>
      <c r="H232">
        <v>275.42</v>
      </c>
      <c r="I232" s="1">
        <v>2.0099999999999998</v>
      </c>
      <c r="J232">
        <v>580.98</v>
      </c>
      <c r="K232" s="1">
        <v>4.2300000000000004</v>
      </c>
      <c r="L232">
        <v>-77.819999999999993</v>
      </c>
      <c r="M232" s="1">
        <v>-0.56999999999999995</v>
      </c>
      <c r="N232">
        <v>-2091.69</v>
      </c>
      <c r="O232" s="1">
        <v>-20.92</v>
      </c>
    </row>
    <row r="233" spans="1:15" ht="15.75" customHeight="1" x14ac:dyDescent="0.25">
      <c r="A233">
        <v>116</v>
      </c>
      <c r="B233" t="s">
        <v>82</v>
      </c>
      <c r="C233" s="2">
        <v>45897.854166666657</v>
      </c>
      <c r="D233" t="s">
        <v>83</v>
      </c>
      <c r="E233">
        <v>111995.7</v>
      </c>
      <c r="F233">
        <v>0.122586</v>
      </c>
      <c r="G233">
        <v>13729.1048802</v>
      </c>
      <c r="H233">
        <v>275.42</v>
      </c>
      <c r="I233" s="1">
        <v>2.0099999999999998</v>
      </c>
      <c r="J233">
        <v>580.98</v>
      </c>
      <c r="K233" s="1">
        <v>4.2300000000000004</v>
      </c>
      <c r="L233">
        <v>-77.819999999999993</v>
      </c>
      <c r="M233" s="1">
        <v>-0.56999999999999995</v>
      </c>
      <c r="N233">
        <v>-2091.69</v>
      </c>
      <c r="O233" s="1">
        <v>-20.92</v>
      </c>
    </row>
    <row r="234" spans="1:15" ht="15.75" customHeight="1" x14ac:dyDescent="0.25">
      <c r="A234">
        <v>117</v>
      </c>
      <c r="B234" t="s">
        <v>76</v>
      </c>
      <c r="C234" s="2">
        <v>45901.479166666657</v>
      </c>
      <c r="D234" t="s">
        <v>77</v>
      </c>
      <c r="E234">
        <v>108153.4</v>
      </c>
      <c r="F234">
        <v>0.15155299999999999</v>
      </c>
      <c r="G234">
        <v>16591.128277299998</v>
      </c>
      <c r="H234">
        <v>-213.35</v>
      </c>
      <c r="I234" s="1">
        <v>-1.29</v>
      </c>
      <c r="J234">
        <v>54.09</v>
      </c>
      <c r="K234" s="1">
        <v>0.33</v>
      </c>
      <c r="L234">
        <v>-206.79</v>
      </c>
      <c r="M234" s="1">
        <v>-1.25</v>
      </c>
      <c r="N234">
        <v>-2311.6799999999998</v>
      </c>
      <c r="O234" s="1">
        <v>-23.12</v>
      </c>
    </row>
    <row r="235" spans="1:15" ht="15.75" customHeight="1" x14ac:dyDescent="0.25">
      <c r="A235">
        <v>117</v>
      </c>
      <c r="B235" t="s">
        <v>78</v>
      </c>
      <c r="C235" s="2">
        <v>45901.375</v>
      </c>
      <c r="D235" t="s">
        <v>79</v>
      </c>
      <c r="E235">
        <v>109474.1</v>
      </c>
      <c r="F235">
        <v>0.15155299999999999</v>
      </c>
      <c r="G235">
        <v>16591.128277299998</v>
      </c>
      <c r="H235">
        <v>-213.35</v>
      </c>
      <c r="I235" s="1">
        <v>-1.29</v>
      </c>
      <c r="J235">
        <v>54.09</v>
      </c>
      <c r="K235" s="1">
        <v>0.33</v>
      </c>
      <c r="L235">
        <v>-206.79</v>
      </c>
      <c r="M235" s="1">
        <v>-1.25</v>
      </c>
      <c r="N235">
        <v>-2311.6799999999998</v>
      </c>
      <c r="O235" s="1">
        <v>-23.12</v>
      </c>
    </row>
    <row r="236" spans="1:15" ht="15.75" customHeight="1" x14ac:dyDescent="0.25">
      <c r="A236">
        <v>118</v>
      </c>
      <c r="B236" t="s">
        <v>76</v>
      </c>
      <c r="C236" s="2">
        <v>45901.479166666657</v>
      </c>
      <c r="D236" t="s">
        <v>77</v>
      </c>
      <c r="E236">
        <v>108153.4</v>
      </c>
      <c r="F236">
        <v>0.15155399999999999</v>
      </c>
      <c r="G236">
        <v>16591.2377514</v>
      </c>
      <c r="H236">
        <v>-213.35</v>
      </c>
      <c r="I236" s="1">
        <v>-1.29</v>
      </c>
      <c r="J236">
        <v>54.09</v>
      </c>
      <c r="K236" s="1">
        <v>0.33</v>
      </c>
      <c r="L236">
        <v>-206.79</v>
      </c>
      <c r="M236" s="1">
        <v>-1.25</v>
      </c>
      <c r="N236">
        <v>-2518.39</v>
      </c>
      <c r="O236" s="1">
        <v>-25.18</v>
      </c>
    </row>
    <row r="237" spans="1:15" ht="15.75" customHeight="1" x14ac:dyDescent="0.25">
      <c r="A237">
        <v>118</v>
      </c>
      <c r="B237" t="s">
        <v>78</v>
      </c>
      <c r="C237" s="2">
        <v>45901.375</v>
      </c>
      <c r="D237" t="s">
        <v>79</v>
      </c>
      <c r="E237">
        <v>109474.1</v>
      </c>
      <c r="F237">
        <v>0.15155399999999999</v>
      </c>
      <c r="G237">
        <v>16591.2377514</v>
      </c>
      <c r="H237">
        <v>-213.35</v>
      </c>
      <c r="I237" s="1">
        <v>-1.29</v>
      </c>
      <c r="J237">
        <v>54.09</v>
      </c>
      <c r="K237" s="1">
        <v>0.33</v>
      </c>
      <c r="L237">
        <v>-206.79</v>
      </c>
      <c r="M237" s="1">
        <v>-1.25</v>
      </c>
      <c r="N237">
        <v>-2518.39</v>
      </c>
      <c r="O237" s="1">
        <v>-25.18</v>
      </c>
    </row>
    <row r="238" spans="1:15" ht="15.75" customHeight="1" x14ac:dyDescent="0.25">
      <c r="A238">
        <v>119</v>
      </c>
      <c r="B238" t="s">
        <v>80</v>
      </c>
      <c r="C238" s="2">
        <v>45902.15625</v>
      </c>
      <c r="D238" t="s">
        <v>77</v>
      </c>
      <c r="E238">
        <v>109684</v>
      </c>
      <c r="F238">
        <v>0.108621</v>
      </c>
      <c r="G238">
        <v>11763.871542000001</v>
      </c>
      <c r="H238">
        <v>-159.59</v>
      </c>
      <c r="I238" s="1">
        <v>-1.36</v>
      </c>
      <c r="J238">
        <v>93.27</v>
      </c>
      <c r="K238" s="1">
        <v>0.79</v>
      </c>
      <c r="L238">
        <v>-154.82</v>
      </c>
      <c r="M238" s="1">
        <v>-1.32</v>
      </c>
      <c r="N238">
        <v>-2682.68</v>
      </c>
      <c r="O238" s="1">
        <v>-26.83</v>
      </c>
    </row>
    <row r="239" spans="1:15" ht="15.75" customHeight="1" x14ac:dyDescent="0.25">
      <c r="A239">
        <v>119</v>
      </c>
      <c r="B239" t="s">
        <v>82</v>
      </c>
      <c r="C239" s="2">
        <v>45901.479166666657</v>
      </c>
      <c r="D239" t="s">
        <v>83</v>
      </c>
      <c r="E239">
        <v>108302</v>
      </c>
      <c r="F239">
        <v>0.108621</v>
      </c>
      <c r="G239">
        <v>11763.871542000001</v>
      </c>
      <c r="H239">
        <v>-159.59</v>
      </c>
      <c r="I239" s="1">
        <v>-1.36</v>
      </c>
      <c r="J239">
        <v>93.27</v>
      </c>
      <c r="K239" s="1">
        <v>0.79</v>
      </c>
      <c r="L239">
        <v>-154.82</v>
      </c>
      <c r="M239" s="1">
        <v>-1.32</v>
      </c>
      <c r="N239">
        <v>-2682.68</v>
      </c>
      <c r="O239" s="1">
        <v>-26.83</v>
      </c>
    </row>
    <row r="240" spans="1:15" ht="15.75" customHeight="1" x14ac:dyDescent="0.25">
      <c r="A240">
        <v>120</v>
      </c>
      <c r="B240" t="s">
        <v>80</v>
      </c>
      <c r="C240" s="2">
        <v>45902.15625</v>
      </c>
      <c r="D240" t="s">
        <v>77</v>
      </c>
      <c r="E240">
        <v>109684</v>
      </c>
      <c r="F240">
        <v>0.108621</v>
      </c>
      <c r="G240">
        <v>11763.871542000001</v>
      </c>
      <c r="H240">
        <v>-159.59</v>
      </c>
      <c r="I240" s="1">
        <v>-1.36</v>
      </c>
      <c r="J240">
        <v>93.27</v>
      </c>
      <c r="K240" s="1">
        <v>0.79</v>
      </c>
      <c r="L240">
        <v>-154.82</v>
      </c>
      <c r="M240" s="1">
        <v>-1.32</v>
      </c>
      <c r="N240">
        <v>-2837.56</v>
      </c>
      <c r="O240" s="1">
        <v>-28.38</v>
      </c>
    </row>
    <row r="241" spans="1:15" ht="15.75" customHeight="1" x14ac:dyDescent="0.25">
      <c r="A241">
        <v>120</v>
      </c>
      <c r="B241" t="s">
        <v>82</v>
      </c>
      <c r="C241" s="2">
        <v>45901.479166666657</v>
      </c>
      <c r="D241" t="s">
        <v>83</v>
      </c>
      <c r="E241">
        <v>108302</v>
      </c>
      <c r="F241">
        <v>0.108621</v>
      </c>
      <c r="G241">
        <v>11763.871542000001</v>
      </c>
      <c r="H241">
        <v>-159.59</v>
      </c>
      <c r="I241" s="1">
        <v>-1.36</v>
      </c>
      <c r="J241">
        <v>93.27</v>
      </c>
      <c r="K241" s="1">
        <v>0.79</v>
      </c>
      <c r="L241">
        <v>-154.82</v>
      </c>
      <c r="M241" s="1">
        <v>-1.32</v>
      </c>
      <c r="N241">
        <v>-2837.56</v>
      </c>
      <c r="O241" s="1">
        <v>-28.38</v>
      </c>
    </row>
    <row r="242" spans="1:15" ht="15.75" customHeight="1" x14ac:dyDescent="0.25">
      <c r="A242">
        <v>121</v>
      </c>
      <c r="B242" t="s">
        <v>76</v>
      </c>
      <c r="C242" s="2">
        <v>45902.5625</v>
      </c>
      <c r="D242" t="s">
        <v>77</v>
      </c>
      <c r="E242">
        <v>108809.5</v>
      </c>
      <c r="F242">
        <v>0.14285100000000001</v>
      </c>
      <c r="G242">
        <v>15743.694420600001</v>
      </c>
      <c r="H242">
        <v>-212.66</v>
      </c>
      <c r="I242" s="1">
        <v>-1.35</v>
      </c>
      <c r="J242">
        <v>63.61</v>
      </c>
      <c r="K242" s="1">
        <v>0.4</v>
      </c>
      <c r="L242">
        <v>-206.45</v>
      </c>
      <c r="M242" s="1">
        <v>-1.31</v>
      </c>
      <c r="N242">
        <v>-3056.52</v>
      </c>
      <c r="O242" s="1">
        <v>-30.57</v>
      </c>
    </row>
    <row r="243" spans="1:15" ht="15.75" customHeight="1" x14ac:dyDescent="0.25">
      <c r="A243">
        <v>121</v>
      </c>
      <c r="B243" t="s">
        <v>78</v>
      </c>
      <c r="C243" s="2">
        <v>45902.15625</v>
      </c>
      <c r="D243" t="s">
        <v>79</v>
      </c>
      <c r="E243">
        <v>110210.6</v>
      </c>
      <c r="F243">
        <v>0.14285100000000001</v>
      </c>
      <c r="G243">
        <v>15743.694420600001</v>
      </c>
      <c r="H243">
        <v>-212.66</v>
      </c>
      <c r="I243" s="1">
        <v>-1.35</v>
      </c>
      <c r="J243">
        <v>63.61</v>
      </c>
      <c r="K243" s="1">
        <v>0.4</v>
      </c>
      <c r="L243">
        <v>-206.45</v>
      </c>
      <c r="M243" s="1">
        <v>-1.31</v>
      </c>
      <c r="N243">
        <v>-3056.52</v>
      </c>
      <c r="O243" s="1">
        <v>-30.57</v>
      </c>
    </row>
    <row r="244" spans="1:15" ht="15.75" customHeight="1" x14ac:dyDescent="0.25">
      <c r="A244">
        <v>122</v>
      </c>
      <c r="B244" t="s">
        <v>76</v>
      </c>
      <c r="C244" s="2">
        <v>45902.5625</v>
      </c>
      <c r="D244" t="s">
        <v>77</v>
      </c>
      <c r="E244">
        <v>108809.5</v>
      </c>
      <c r="F244">
        <v>0.14285200000000001</v>
      </c>
      <c r="G244">
        <v>15743.804631200001</v>
      </c>
      <c r="H244">
        <v>-212.66</v>
      </c>
      <c r="I244" s="1">
        <v>-1.35</v>
      </c>
      <c r="J244">
        <v>63.61</v>
      </c>
      <c r="K244" s="1">
        <v>0.4</v>
      </c>
      <c r="L244">
        <v>-206.45</v>
      </c>
      <c r="M244" s="1">
        <v>-1.31</v>
      </c>
      <c r="N244">
        <v>-3262.89</v>
      </c>
      <c r="O244" s="1">
        <v>-32.630000000000003</v>
      </c>
    </row>
    <row r="245" spans="1:15" ht="15.75" customHeight="1" x14ac:dyDescent="0.25">
      <c r="A245">
        <v>122</v>
      </c>
      <c r="B245" t="s">
        <v>78</v>
      </c>
      <c r="C245" s="2">
        <v>45902.15625</v>
      </c>
      <c r="D245" t="s">
        <v>79</v>
      </c>
      <c r="E245">
        <v>110210.6</v>
      </c>
      <c r="F245">
        <v>0.14285200000000001</v>
      </c>
      <c r="G245">
        <v>15743.804631200001</v>
      </c>
      <c r="H245">
        <v>-212.66</v>
      </c>
      <c r="I245" s="1">
        <v>-1.35</v>
      </c>
      <c r="J245">
        <v>63.61</v>
      </c>
      <c r="K245" s="1">
        <v>0.4</v>
      </c>
      <c r="L245">
        <v>-206.45</v>
      </c>
      <c r="M245" s="1">
        <v>-1.31</v>
      </c>
      <c r="N245">
        <v>-3262.89</v>
      </c>
      <c r="O245" s="1">
        <v>-32.630000000000003</v>
      </c>
    </row>
    <row r="246" spans="1:15" ht="15.75" customHeight="1" x14ac:dyDescent="0.25">
      <c r="A246">
        <v>123</v>
      </c>
      <c r="B246" t="s">
        <v>80</v>
      </c>
      <c r="C246" s="2">
        <v>45902.604166666657</v>
      </c>
      <c r="D246" t="s">
        <v>77</v>
      </c>
      <c r="E246">
        <v>109937.3</v>
      </c>
      <c r="F246">
        <v>0.122087</v>
      </c>
      <c r="G246">
        <v>13271.784761200001</v>
      </c>
      <c r="H246">
        <v>-160.81</v>
      </c>
      <c r="I246" s="1">
        <v>-1.21</v>
      </c>
      <c r="J246">
        <v>40.43</v>
      </c>
      <c r="K246" s="1">
        <v>0.3</v>
      </c>
      <c r="L246">
        <v>-155.44</v>
      </c>
      <c r="M246" s="1">
        <v>-1.17</v>
      </c>
      <c r="N246">
        <v>-3429.01</v>
      </c>
      <c r="O246" s="1">
        <v>-34.29</v>
      </c>
    </row>
    <row r="247" spans="1:15" ht="15.75" customHeight="1" x14ac:dyDescent="0.25">
      <c r="A247">
        <v>123</v>
      </c>
      <c r="B247" t="s">
        <v>82</v>
      </c>
      <c r="C247" s="2">
        <v>45902.5625</v>
      </c>
      <c r="D247" t="s">
        <v>83</v>
      </c>
      <c r="E247">
        <v>108707.6</v>
      </c>
      <c r="F247">
        <v>0.122087</v>
      </c>
      <c r="G247">
        <v>13271.784761200001</v>
      </c>
      <c r="H247">
        <v>-160.81</v>
      </c>
      <c r="I247" s="1">
        <v>-1.21</v>
      </c>
      <c r="J247">
        <v>40.43</v>
      </c>
      <c r="K247" s="1">
        <v>0.3</v>
      </c>
      <c r="L247">
        <v>-155.44</v>
      </c>
      <c r="M247" s="1">
        <v>-1.17</v>
      </c>
      <c r="N247">
        <v>-3429.01</v>
      </c>
      <c r="O247" s="1">
        <v>-34.29</v>
      </c>
    </row>
    <row r="248" spans="1:15" ht="15.75" customHeight="1" x14ac:dyDescent="0.25">
      <c r="A248">
        <v>124</v>
      </c>
      <c r="B248" t="s">
        <v>80</v>
      </c>
      <c r="C248" s="2">
        <v>45902.604166666657</v>
      </c>
      <c r="D248" t="s">
        <v>77</v>
      </c>
      <c r="E248">
        <v>109937.3</v>
      </c>
      <c r="F248">
        <v>0.122087</v>
      </c>
      <c r="G248">
        <v>13271.784761200001</v>
      </c>
      <c r="H248">
        <v>-160.81</v>
      </c>
      <c r="I248" s="1">
        <v>-1.21</v>
      </c>
      <c r="J248">
        <v>40.43</v>
      </c>
      <c r="K248" s="1">
        <v>0.3</v>
      </c>
      <c r="L248">
        <v>-155.44</v>
      </c>
      <c r="M248" s="1">
        <v>-1.17</v>
      </c>
      <c r="N248">
        <v>-3584.51</v>
      </c>
      <c r="O248" s="1">
        <v>-35.85</v>
      </c>
    </row>
    <row r="249" spans="1:15" ht="15.75" customHeight="1" x14ac:dyDescent="0.25">
      <c r="A249">
        <v>124</v>
      </c>
      <c r="B249" t="s">
        <v>82</v>
      </c>
      <c r="C249" s="2">
        <v>45902.5625</v>
      </c>
      <c r="D249" t="s">
        <v>83</v>
      </c>
      <c r="E249">
        <v>108707.6</v>
      </c>
      <c r="F249">
        <v>0.122087</v>
      </c>
      <c r="G249">
        <v>13271.784761200001</v>
      </c>
      <c r="H249">
        <v>-160.81</v>
      </c>
      <c r="I249" s="1">
        <v>-1.21</v>
      </c>
      <c r="J249">
        <v>40.43</v>
      </c>
      <c r="K249" s="1">
        <v>0.3</v>
      </c>
      <c r="L249">
        <v>-155.44</v>
      </c>
      <c r="M249" s="1">
        <v>-1.17</v>
      </c>
      <c r="N249">
        <v>-3584.51</v>
      </c>
      <c r="O249" s="1">
        <v>-35.85</v>
      </c>
    </row>
    <row r="250" spans="1:15" ht="15.75" customHeight="1" x14ac:dyDescent="0.25">
      <c r="A250">
        <v>125</v>
      </c>
      <c r="B250" t="s">
        <v>76</v>
      </c>
      <c r="C250" s="2">
        <v>45904.260416666657</v>
      </c>
      <c r="D250" t="s">
        <v>81</v>
      </c>
      <c r="E250">
        <v>110602.3</v>
      </c>
      <c r="F250">
        <v>0.117829</v>
      </c>
      <c r="G250">
        <v>13012.2217399</v>
      </c>
      <c r="H250">
        <v>9.52</v>
      </c>
      <c r="I250" s="1">
        <v>7.0000000000000007E-2</v>
      </c>
      <c r="J250">
        <v>243.19</v>
      </c>
      <c r="K250" s="1">
        <v>1.87</v>
      </c>
      <c r="L250">
        <v>-42.27</v>
      </c>
      <c r="M250" s="1">
        <v>-0.32</v>
      </c>
      <c r="N250">
        <v>-3580.19</v>
      </c>
      <c r="O250" s="1">
        <v>-35.799999999999997</v>
      </c>
    </row>
    <row r="251" spans="1:15" ht="15.75" customHeight="1" x14ac:dyDescent="0.25">
      <c r="A251">
        <v>125</v>
      </c>
      <c r="B251" t="s">
        <v>78</v>
      </c>
      <c r="C251" s="2">
        <v>45902.604166666657</v>
      </c>
      <c r="D251" t="s">
        <v>79</v>
      </c>
      <c r="E251">
        <v>110433.1</v>
      </c>
      <c r="F251">
        <v>0.117829</v>
      </c>
      <c r="G251">
        <v>13012.2217399</v>
      </c>
      <c r="H251">
        <v>9.52</v>
      </c>
      <c r="I251" s="1">
        <v>7.0000000000000007E-2</v>
      </c>
      <c r="J251">
        <v>243.19</v>
      </c>
      <c r="K251" s="1">
        <v>1.87</v>
      </c>
      <c r="L251">
        <v>-42.27</v>
      </c>
      <c r="M251" s="1">
        <v>-0.32</v>
      </c>
      <c r="N251">
        <v>-3580.19</v>
      </c>
      <c r="O251" s="1">
        <v>-35.799999999999997</v>
      </c>
    </row>
    <row r="252" spans="1:15" ht="15.75" customHeight="1" x14ac:dyDescent="0.25">
      <c r="A252">
        <v>126</v>
      </c>
      <c r="B252" t="s">
        <v>76</v>
      </c>
      <c r="C252" s="2">
        <v>45904.260416666657</v>
      </c>
      <c r="D252" t="s">
        <v>81</v>
      </c>
      <c r="E252">
        <v>110602.3</v>
      </c>
      <c r="F252">
        <v>0.117829</v>
      </c>
      <c r="G252">
        <v>13012.2217399</v>
      </c>
      <c r="H252">
        <v>9.52</v>
      </c>
      <c r="I252" s="1">
        <v>7.0000000000000007E-2</v>
      </c>
      <c r="J252">
        <v>243.19</v>
      </c>
      <c r="K252" s="1">
        <v>1.87</v>
      </c>
      <c r="L252">
        <v>-42.27</v>
      </c>
      <c r="M252" s="1">
        <v>-0.32</v>
      </c>
      <c r="N252">
        <v>-3565.47</v>
      </c>
      <c r="O252" s="1">
        <v>-35.65</v>
      </c>
    </row>
    <row r="253" spans="1:15" ht="15.75" customHeight="1" x14ac:dyDescent="0.25">
      <c r="A253">
        <v>126</v>
      </c>
      <c r="B253" t="s">
        <v>78</v>
      </c>
      <c r="C253" s="2">
        <v>45902.604166666657</v>
      </c>
      <c r="D253" t="s">
        <v>79</v>
      </c>
      <c r="E253">
        <v>110433.1</v>
      </c>
      <c r="F253">
        <v>0.117829</v>
      </c>
      <c r="G253">
        <v>13012.2217399</v>
      </c>
      <c r="H253">
        <v>9.52</v>
      </c>
      <c r="I253" s="1">
        <v>7.0000000000000007E-2</v>
      </c>
      <c r="J253">
        <v>243.19</v>
      </c>
      <c r="K253" s="1">
        <v>1.87</v>
      </c>
      <c r="L253">
        <v>-42.27</v>
      </c>
      <c r="M253" s="1">
        <v>-0.32</v>
      </c>
      <c r="N253">
        <v>-3565.47</v>
      </c>
      <c r="O253" s="1">
        <v>-35.65</v>
      </c>
    </row>
    <row r="254" spans="1:15" ht="15.75" customHeight="1" x14ac:dyDescent="0.25">
      <c r="A254">
        <v>127</v>
      </c>
      <c r="B254" t="s">
        <v>80</v>
      </c>
      <c r="C254" s="2">
        <v>45904.96875</v>
      </c>
      <c r="D254" t="s">
        <v>81</v>
      </c>
      <c r="E254">
        <v>110674.1</v>
      </c>
      <c r="F254">
        <v>0.16401299999999999</v>
      </c>
      <c r="G254">
        <v>18166.9163463</v>
      </c>
      <c r="H254">
        <v>0.4</v>
      </c>
      <c r="I254" s="1">
        <v>0</v>
      </c>
      <c r="J254">
        <v>238.1</v>
      </c>
      <c r="K254" s="1">
        <v>1.31</v>
      </c>
      <c r="L254">
        <v>-64</v>
      </c>
      <c r="M254" s="1">
        <v>-0.35</v>
      </c>
      <c r="N254">
        <v>-3572.34</v>
      </c>
      <c r="O254" s="1">
        <v>-35.72</v>
      </c>
    </row>
    <row r="255" spans="1:15" ht="15.75" customHeight="1" x14ac:dyDescent="0.25">
      <c r="A255">
        <v>127</v>
      </c>
      <c r="B255" t="s">
        <v>82</v>
      </c>
      <c r="C255" s="2">
        <v>45904.260416666657</v>
      </c>
      <c r="D255" t="s">
        <v>83</v>
      </c>
      <c r="E255">
        <v>110765.1</v>
      </c>
      <c r="F255">
        <v>0.16401299999999999</v>
      </c>
      <c r="G255">
        <v>18166.9163463</v>
      </c>
      <c r="H255">
        <v>0.4</v>
      </c>
      <c r="I255" s="1">
        <v>0</v>
      </c>
      <c r="J255">
        <v>238.1</v>
      </c>
      <c r="K255" s="1">
        <v>1.31</v>
      </c>
      <c r="L255">
        <v>-64</v>
      </c>
      <c r="M255" s="1">
        <v>-0.35</v>
      </c>
      <c r="N255">
        <v>-3572.34</v>
      </c>
      <c r="O255" s="1">
        <v>-35.72</v>
      </c>
    </row>
    <row r="256" spans="1:15" ht="15.75" customHeight="1" x14ac:dyDescent="0.25">
      <c r="A256">
        <v>128</v>
      </c>
      <c r="B256" t="s">
        <v>80</v>
      </c>
      <c r="C256" s="2">
        <v>45904.96875</v>
      </c>
      <c r="D256" t="s">
        <v>81</v>
      </c>
      <c r="E256">
        <v>110674.1</v>
      </c>
      <c r="F256">
        <v>0.16401399999999999</v>
      </c>
      <c r="G256">
        <v>18167.027111399999</v>
      </c>
      <c r="H256">
        <v>0.4</v>
      </c>
      <c r="I256" s="1">
        <v>0</v>
      </c>
      <c r="J256">
        <v>238.1</v>
      </c>
      <c r="K256" s="1">
        <v>1.31</v>
      </c>
      <c r="L256">
        <v>-64</v>
      </c>
      <c r="M256" s="1">
        <v>-0.35</v>
      </c>
      <c r="N256">
        <v>-3564.67</v>
      </c>
      <c r="O256" s="1">
        <v>-35.65</v>
      </c>
    </row>
    <row r="257" spans="1:15" ht="15.75" customHeight="1" x14ac:dyDescent="0.25">
      <c r="A257">
        <v>128</v>
      </c>
      <c r="B257" t="s">
        <v>82</v>
      </c>
      <c r="C257" s="2">
        <v>45904.260416666657</v>
      </c>
      <c r="D257" t="s">
        <v>83</v>
      </c>
      <c r="E257">
        <v>110765.1</v>
      </c>
      <c r="F257">
        <v>0.16401399999999999</v>
      </c>
      <c r="G257">
        <v>18167.027111399999</v>
      </c>
      <c r="H257">
        <v>0.4</v>
      </c>
      <c r="I257" s="1">
        <v>0</v>
      </c>
      <c r="J257">
        <v>238.1</v>
      </c>
      <c r="K257" s="1">
        <v>1.31</v>
      </c>
      <c r="L257">
        <v>-64</v>
      </c>
      <c r="M257" s="1">
        <v>-0.35</v>
      </c>
      <c r="N257">
        <v>-3564.67</v>
      </c>
      <c r="O257" s="1">
        <v>-35.65</v>
      </c>
    </row>
    <row r="258" spans="1:15" ht="15.75" customHeight="1" x14ac:dyDescent="0.25">
      <c r="A258">
        <v>129</v>
      </c>
      <c r="B258" t="s">
        <v>76</v>
      </c>
      <c r="C258" s="2">
        <v>45905.020833333343</v>
      </c>
      <c r="D258" t="s">
        <v>81</v>
      </c>
      <c r="E258">
        <v>110873.2</v>
      </c>
      <c r="F258">
        <v>0.209174</v>
      </c>
      <c r="G258">
        <v>23171.8982894</v>
      </c>
      <c r="H258">
        <v>1.35</v>
      </c>
      <c r="I258" s="1">
        <v>0.01</v>
      </c>
      <c r="J258">
        <v>192.73</v>
      </c>
      <c r="K258" s="1">
        <v>0.83</v>
      </c>
      <c r="L258">
        <v>-28.37</v>
      </c>
      <c r="M258" s="1">
        <v>-0.12</v>
      </c>
      <c r="N258">
        <v>-3572.59</v>
      </c>
      <c r="O258" s="1">
        <v>-35.729999999999997</v>
      </c>
    </row>
    <row r="259" spans="1:15" ht="15.75" customHeight="1" x14ac:dyDescent="0.25">
      <c r="A259">
        <v>129</v>
      </c>
      <c r="B259" t="s">
        <v>78</v>
      </c>
      <c r="C259" s="2">
        <v>45904.96875</v>
      </c>
      <c r="D259" t="s">
        <v>79</v>
      </c>
      <c r="E259">
        <v>110778.1</v>
      </c>
      <c r="F259">
        <v>0.209174</v>
      </c>
      <c r="G259">
        <v>23171.8982894</v>
      </c>
      <c r="H259">
        <v>1.35</v>
      </c>
      <c r="I259" s="1">
        <v>0.01</v>
      </c>
      <c r="J259">
        <v>192.73</v>
      </c>
      <c r="K259" s="1">
        <v>0.83</v>
      </c>
      <c r="L259">
        <v>-28.37</v>
      </c>
      <c r="M259" s="1">
        <v>-0.12</v>
      </c>
      <c r="N259">
        <v>-3572.59</v>
      </c>
      <c r="O259" s="1">
        <v>-35.729999999999997</v>
      </c>
    </row>
    <row r="260" spans="1:15" ht="15.75" customHeight="1" x14ac:dyDescent="0.25">
      <c r="A260">
        <v>130</v>
      </c>
      <c r="B260" t="s">
        <v>76</v>
      </c>
      <c r="C260" s="2">
        <v>45905.020833333343</v>
      </c>
      <c r="D260" t="s">
        <v>81</v>
      </c>
      <c r="E260">
        <v>110873.2</v>
      </c>
      <c r="F260">
        <v>0.209175</v>
      </c>
      <c r="G260">
        <v>23172.009067499999</v>
      </c>
      <c r="H260">
        <v>1.35</v>
      </c>
      <c r="I260" s="1">
        <v>0.01</v>
      </c>
      <c r="J260">
        <v>192.73</v>
      </c>
      <c r="K260" s="1">
        <v>0.83</v>
      </c>
      <c r="L260">
        <v>-28.37</v>
      </c>
      <c r="M260" s="1">
        <v>-0.12</v>
      </c>
      <c r="N260">
        <v>-3561.98</v>
      </c>
      <c r="O260" s="1">
        <v>-35.619999999999997</v>
      </c>
    </row>
    <row r="261" spans="1:15" ht="15.75" customHeight="1" x14ac:dyDescent="0.25">
      <c r="A261">
        <v>130</v>
      </c>
      <c r="B261" t="s">
        <v>78</v>
      </c>
      <c r="C261" s="2">
        <v>45904.96875</v>
      </c>
      <c r="D261" t="s">
        <v>79</v>
      </c>
      <c r="E261">
        <v>110778.1</v>
      </c>
      <c r="F261">
        <v>0.209175</v>
      </c>
      <c r="G261">
        <v>23172.009067499999</v>
      </c>
      <c r="H261">
        <v>1.35</v>
      </c>
      <c r="I261" s="1">
        <v>0.01</v>
      </c>
      <c r="J261">
        <v>192.73</v>
      </c>
      <c r="K261" s="1">
        <v>0.83</v>
      </c>
      <c r="L261">
        <v>-28.37</v>
      </c>
      <c r="M261" s="1">
        <v>-0.12</v>
      </c>
      <c r="N261">
        <v>-3561.98</v>
      </c>
      <c r="O261" s="1">
        <v>-35.619999999999997</v>
      </c>
    </row>
    <row r="262" spans="1:15" ht="15.75" customHeight="1" x14ac:dyDescent="0.25">
      <c r="A262">
        <v>131</v>
      </c>
      <c r="B262" t="s">
        <v>76</v>
      </c>
      <c r="C262" s="2">
        <v>45905.635416666657</v>
      </c>
      <c r="D262" t="s">
        <v>81</v>
      </c>
      <c r="E262">
        <v>110888.5</v>
      </c>
      <c r="F262">
        <v>0.164495</v>
      </c>
      <c r="G262">
        <v>18220.683463000001</v>
      </c>
      <c r="H262">
        <v>5.34</v>
      </c>
      <c r="I262" s="1">
        <v>0.03</v>
      </c>
      <c r="J262">
        <v>416.6</v>
      </c>
      <c r="K262" s="1">
        <v>2.29</v>
      </c>
      <c r="L262">
        <v>-68.680000000000007</v>
      </c>
      <c r="M262" s="1">
        <v>-0.38</v>
      </c>
      <c r="N262">
        <v>-3563.93</v>
      </c>
      <c r="O262" s="1">
        <v>-35.64</v>
      </c>
    </row>
    <row r="263" spans="1:15" ht="15.75" customHeight="1" x14ac:dyDescent="0.25">
      <c r="A263">
        <v>131</v>
      </c>
      <c r="B263" t="s">
        <v>78</v>
      </c>
      <c r="C263" s="2">
        <v>45905.020833333343</v>
      </c>
      <c r="D263" t="s">
        <v>79</v>
      </c>
      <c r="E263">
        <v>110767.4</v>
      </c>
      <c r="F263">
        <v>0.164495</v>
      </c>
      <c r="G263">
        <v>18220.683463000001</v>
      </c>
      <c r="H263">
        <v>5.34</v>
      </c>
      <c r="I263" s="1">
        <v>0.03</v>
      </c>
      <c r="J263">
        <v>416.6</v>
      </c>
      <c r="K263" s="1">
        <v>2.29</v>
      </c>
      <c r="L263">
        <v>-68.680000000000007</v>
      </c>
      <c r="M263" s="1">
        <v>-0.38</v>
      </c>
      <c r="N263">
        <v>-3563.93</v>
      </c>
      <c r="O263" s="1">
        <v>-35.64</v>
      </c>
    </row>
    <row r="264" spans="1:15" ht="15.75" customHeight="1" x14ac:dyDescent="0.25">
      <c r="A264">
        <v>132</v>
      </c>
      <c r="B264" t="s">
        <v>76</v>
      </c>
      <c r="C264" s="2">
        <v>45905.635416666657</v>
      </c>
      <c r="D264" t="s">
        <v>81</v>
      </c>
      <c r="E264">
        <v>110888.5</v>
      </c>
      <c r="F264">
        <v>0.164495</v>
      </c>
      <c r="G264">
        <v>18220.683463000001</v>
      </c>
      <c r="H264">
        <v>5.34</v>
      </c>
      <c r="I264" s="1">
        <v>0.03</v>
      </c>
      <c r="J264">
        <v>416.6</v>
      </c>
      <c r="K264" s="1">
        <v>2.29</v>
      </c>
      <c r="L264">
        <v>-68.680000000000007</v>
      </c>
      <c r="M264" s="1">
        <v>-0.38</v>
      </c>
      <c r="N264">
        <v>-3551.31</v>
      </c>
      <c r="O264" s="1">
        <v>-35.51</v>
      </c>
    </row>
    <row r="265" spans="1:15" ht="15.75" customHeight="1" x14ac:dyDescent="0.25">
      <c r="A265">
        <v>132</v>
      </c>
      <c r="B265" t="s">
        <v>78</v>
      </c>
      <c r="C265" s="2">
        <v>45905.020833333343</v>
      </c>
      <c r="D265" t="s">
        <v>79</v>
      </c>
      <c r="E265">
        <v>110767.4</v>
      </c>
      <c r="F265">
        <v>0.164495</v>
      </c>
      <c r="G265">
        <v>18220.683463000001</v>
      </c>
      <c r="H265">
        <v>5.34</v>
      </c>
      <c r="I265" s="1">
        <v>0.03</v>
      </c>
      <c r="J265">
        <v>416.6</v>
      </c>
      <c r="K265" s="1">
        <v>2.29</v>
      </c>
      <c r="L265">
        <v>-68.680000000000007</v>
      </c>
      <c r="M265" s="1">
        <v>-0.38</v>
      </c>
      <c r="N265">
        <v>-3551.31</v>
      </c>
      <c r="O265" s="1">
        <v>-35.51</v>
      </c>
    </row>
    <row r="266" spans="1:15" ht="15.75" customHeight="1" x14ac:dyDescent="0.25">
      <c r="A266">
        <v>133</v>
      </c>
      <c r="B266" t="s">
        <v>80</v>
      </c>
      <c r="C266" s="2">
        <v>45908.677083333343</v>
      </c>
      <c r="D266" t="s">
        <v>77</v>
      </c>
      <c r="E266">
        <v>112828.2</v>
      </c>
      <c r="F266">
        <v>8.0267000000000005E-2</v>
      </c>
      <c r="G266">
        <v>8906.2978927999993</v>
      </c>
      <c r="H266">
        <v>-157.27000000000001</v>
      </c>
      <c r="I266" s="1">
        <v>-1.77</v>
      </c>
      <c r="J266">
        <v>85.41</v>
      </c>
      <c r="K266" s="1">
        <v>0.96</v>
      </c>
      <c r="L266">
        <v>-153.65</v>
      </c>
      <c r="M266" s="1">
        <v>-1.72</v>
      </c>
      <c r="N266">
        <v>-3712.14</v>
      </c>
      <c r="O266" s="1">
        <v>-37.119999999999997</v>
      </c>
    </row>
    <row r="267" spans="1:15" ht="15.75" customHeight="1" x14ac:dyDescent="0.25">
      <c r="A267">
        <v>133</v>
      </c>
      <c r="B267" t="s">
        <v>82</v>
      </c>
      <c r="C267" s="2">
        <v>45905.635416666657</v>
      </c>
      <c r="D267" t="s">
        <v>83</v>
      </c>
      <c r="E267">
        <v>110958.39999999999</v>
      </c>
      <c r="F267">
        <v>8.0267000000000005E-2</v>
      </c>
      <c r="G267">
        <v>8906.2978927999993</v>
      </c>
      <c r="H267">
        <v>-157.27000000000001</v>
      </c>
      <c r="I267" s="1">
        <v>-1.77</v>
      </c>
      <c r="J267">
        <v>85.41</v>
      </c>
      <c r="K267" s="1">
        <v>0.96</v>
      </c>
      <c r="L267">
        <v>-153.65</v>
      </c>
      <c r="M267" s="1">
        <v>-1.72</v>
      </c>
      <c r="N267">
        <v>-3712.14</v>
      </c>
      <c r="O267" s="1">
        <v>-37.119999999999997</v>
      </c>
    </row>
    <row r="268" spans="1:15" ht="15.75" customHeight="1" x14ac:dyDescent="0.25">
      <c r="A268">
        <v>134</v>
      </c>
      <c r="B268" t="s">
        <v>80</v>
      </c>
      <c r="C268" s="2">
        <v>45908.677083333343</v>
      </c>
      <c r="D268" t="s">
        <v>77</v>
      </c>
      <c r="E268">
        <v>112828.2</v>
      </c>
      <c r="F268">
        <v>8.0268000000000006E-2</v>
      </c>
      <c r="G268">
        <v>8906.4088511999998</v>
      </c>
      <c r="H268">
        <v>-157.27000000000001</v>
      </c>
      <c r="I268" s="1">
        <v>-1.77</v>
      </c>
      <c r="J268">
        <v>85.41</v>
      </c>
      <c r="K268" s="1">
        <v>0.96</v>
      </c>
      <c r="L268">
        <v>-153.65</v>
      </c>
      <c r="M268" s="1">
        <v>-1.72</v>
      </c>
      <c r="N268">
        <v>-3865.85</v>
      </c>
      <c r="O268" s="1">
        <v>-38.659999999999997</v>
      </c>
    </row>
    <row r="269" spans="1:15" ht="15.75" customHeight="1" x14ac:dyDescent="0.25">
      <c r="A269">
        <v>134</v>
      </c>
      <c r="B269" t="s">
        <v>82</v>
      </c>
      <c r="C269" s="2">
        <v>45905.635416666657</v>
      </c>
      <c r="D269" t="s">
        <v>83</v>
      </c>
      <c r="E269">
        <v>110958.39999999999</v>
      </c>
      <c r="F269">
        <v>8.0268000000000006E-2</v>
      </c>
      <c r="G269">
        <v>8906.4088511999998</v>
      </c>
      <c r="H269">
        <v>-157.27000000000001</v>
      </c>
      <c r="I269" s="1">
        <v>-1.77</v>
      </c>
      <c r="J269">
        <v>85.41</v>
      </c>
      <c r="K269" s="1">
        <v>0.96</v>
      </c>
      <c r="L269">
        <v>-153.65</v>
      </c>
      <c r="M269" s="1">
        <v>-1.72</v>
      </c>
      <c r="N269">
        <v>-3865.85</v>
      </c>
      <c r="O269" s="1">
        <v>-38.659999999999997</v>
      </c>
    </row>
    <row r="270" spans="1:15" ht="15.75" customHeight="1" x14ac:dyDescent="0.25">
      <c r="A270">
        <v>135</v>
      </c>
      <c r="B270" t="s">
        <v>76</v>
      </c>
      <c r="C270" s="2">
        <v>45909.052083333343</v>
      </c>
      <c r="D270" t="s">
        <v>77</v>
      </c>
      <c r="E270">
        <v>111715.8</v>
      </c>
      <c r="F270">
        <v>0.18915699999999999</v>
      </c>
      <c r="G270">
        <v>21332.0293494</v>
      </c>
      <c r="H270">
        <v>-217.19</v>
      </c>
      <c r="I270" s="1">
        <v>-1.02</v>
      </c>
      <c r="J270">
        <v>0</v>
      </c>
      <c r="K270" s="1">
        <v>0</v>
      </c>
      <c r="L270">
        <v>-208.74</v>
      </c>
      <c r="M270" s="1">
        <v>-0.98</v>
      </c>
      <c r="N270">
        <v>-4091.57</v>
      </c>
      <c r="O270" s="1">
        <v>-40.92</v>
      </c>
    </row>
    <row r="271" spans="1:15" ht="15.75" customHeight="1" x14ac:dyDescent="0.25">
      <c r="A271">
        <v>135</v>
      </c>
      <c r="B271" t="s">
        <v>78</v>
      </c>
      <c r="C271" s="2">
        <v>45908.677083333343</v>
      </c>
      <c r="D271" t="s">
        <v>79</v>
      </c>
      <c r="E271">
        <v>112774.2</v>
      </c>
      <c r="F271">
        <v>0.18915699999999999</v>
      </c>
      <c r="G271">
        <v>21332.0293494</v>
      </c>
      <c r="H271">
        <v>-217.19</v>
      </c>
      <c r="I271" s="1">
        <v>-1.02</v>
      </c>
      <c r="J271">
        <v>0</v>
      </c>
      <c r="K271" s="1">
        <v>0</v>
      </c>
      <c r="L271">
        <v>-208.74</v>
      </c>
      <c r="M271" s="1">
        <v>-0.98</v>
      </c>
      <c r="N271">
        <v>-4091.57</v>
      </c>
      <c r="O271" s="1">
        <v>-40.92</v>
      </c>
    </row>
    <row r="272" spans="1:15" ht="15.75" customHeight="1" x14ac:dyDescent="0.25">
      <c r="A272">
        <v>136</v>
      </c>
      <c r="B272" t="s">
        <v>76</v>
      </c>
      <c r="C272" s="2">
        <v>45909.052083333343</v>
      </c>
      <c r="D272" t="s">
        <v>77</v>
      </c>
      <c r="E272">
        <v>111715.8</v>
      </c>
      <c r="F272">
        <v>0.18915799999999999</v>
      </c>
      <c r="G272">
        <v>21332.142123599999</v>
      </c>
      <c r="H272">
        <v>-217.19</v>
      </c>
      <c r="I272" s="1">
        <v>-1.02</v>
      </c>
      <c r="J272">
        <v>0</v>
      </c>
      <c r="K272" s="1">
        <v>0</v>
      </c>
      <c r="L272">
        <v>-208.74</v>
      </c>
      <c r="M272" s="1">
        <v>-0.98</v>
      </c>
      <c r="N272">
        <v>-4300.2299999999996</v>
      </c>
      <c r="O272" s="1">
        <v>-43</v>
      </c>
    </row>
    <row r="273" spans="1:15" ht="15.75" customHeight="1" x14ac:dyDescent="0.25">
      <c r="A273">
        <v>136</v>
      </c>
      <c r="B273" t="s">
        <v>78</v>
      </c>
      <c r="C273" s="2">
        <v>45908.677083333343</v>
      </c>
      <c r="D273" t="s">
        <v>79</v>
      </c>
      <c r="E273">
        <v>112774.2</v>
      </c>
      <c r="F273">
        <v>0.18915799999999999</v>
      </c>
      <c r="G273">
        <v>21332.142123599999</v>
      </c>
      <c r="H273">
        <v>-217.19</v>
      </c>
      <c r="I273" s="1">
        <v>-1.02</v>
      </c>
      <c r="J273">
        <v>0</v>
      </c>
      <c r="K273" s="1">
        <v>0</v>
      </c>
      <c r="L273">
        <v>-208.74</v>
      </c>
      <c r="M273" s="1">
        <v>-0.98</v>
      </c>
      <c r="N273">
        <v>-4300.2299999999996</v>
      </c>
      <c r="O273" s="1">
        <v>-43</v>
      </c>
    </row>
    <row r="274" spans="1:15" ht="15.75" customHeight="1" x14ac:dyDescent="0.25">
      <c r="A274">
        <v>137</v>
      </c>
      <c r="B274" t="s">
        <v>76</v>
      </c>
      <c r="C274" s="2">
        <v>45909.645833333343</v>
      </c>
      <c r="D274" t="s">
        <v>81</v>
      </c>
      <c r="E274">
        <v>111686.7</v>
      </c>
      <c r="F274">
        <v>0.22398899999999999</v>
      </c>
      <c r="G274">
        <v>25000.106655899999</v>
      </c>
      <c r="H274">
        <v>-3.52</v>
      </c>
      <c r="I274" s="1">
        <v>-0.01</v>
      </c>
      <c r="J274">
        <v>353.96</v>
      </c>
      <c r="K274" s="1">
        <v>1.42</v>
      </c>
      <c r="L274">
        <v>-136.13</v>
      </c>
      <c r="M274" s="1">
        <v>-0.54</v>
      </c>
      <c r="N274">
        <v>-4313.75</v>
      </c>
      <c r="O274" s="1">
        <v>-43.14</v>
      </c>
    </row>
    <row r="275" spans="1:15" ht="15.75" customHeight="1" x14ac:dyDescent="0.25">
      <c r="A275">
        <v>137</v>
      </c>
      <c r="B275" t="s">
        <v>78</v>
      </c>
      <c r="C275" s="2">
        <v>45909.052083333343</v>
      </c>
      <c r="D275" t="s">
        <v>79</v>
      </c>
      <c r="E275">
        <v>111613.1</v>
      </c>
      <c r="F275">
        <v>0.22398899999999999</v>
      </c>
      <c r="G275">
        <v>25000.106655899999</v>
      </c>
      <c r="H275">
        <v>-3.52</v>
      </c>
      <c r="I275" s="1">
        <v>-0.01</v>
      </c>
      <c r="J275">
        <v>353.96</v>
      </c>
      <c r="K275" s="1">
        <v>1.42</v>
      </c>
      <c r="L275">
        <v>-136.13</v>
      </c>
      <c r="M275" s="1">
        <v>-0.54</v>
      </c>
      <c r="N275">
        <v>-4313.75</v>
      </c>
      <c r="O275" s="1">
        <v>-43.14</v>
      </c>
    </row>
    <row r="276" spans="1:15" ht="15.75" customHeight="1" x14ac:dyDescent="0.25">
      <c r="A276">
        <v>138</v>
      </c>
      <c r="B276" t="s">
        <v>76</v>
      </c>
      <c r="C276" s="2">
        <v>45909.645833333343</v>
      </c>
      <c r="D276" t="s">
        <v>81</v>
      </c>
      <c r="E276">
        <v>111686.7</v>
      </c>
      <c r="F276">
        <v>0.22398899999999999</v>
      </c>
      <c r="G276">
        <v>25000.106655899999</v>
      </c>
      <c r="H276">
        <v>-3.52</v>
      </c>
      <c r="I276" s="1">
        <v>-0.01</v>
      </c>
      <c r="J276">
        <v>353.96</v>
      </c>
      <c r="K276" s="1">
        <v>1.42</v>
      </c>
      <c r="L276">
        <v>-136.13</v>
      </c>
      <c r="M276" s="1">
        <v>-0.54</v>
      </c>
      <c r="N276">
        <v>-4307.2700000000004</v>
      </c>
      <c r="O276" s="1">
        <v>-43.07</v>
      </c>
    </row>
    <row r="277" spans="1:15" ht="15.75" customHeight="1" x14ac:dyDescent="0.25">
      <c r="A277">
        <v>138</v>
      </c>
      <c r="B277" t="s">
        <v>78</v>
      </c>
      <c r="C277" s="2">
        <v>45909.052083333343</v>
      </c>
      <c r="D277" t="s">
        <v>79</v>
      </c>
      <c r="E277">
        <v>111613.1</v>
      </c>
      <c r="F277">
        <v>0.22398899999999999</v>
      </c>
      <c r="G277">
        <v>25000.106655899999</v>
      </c>
      <c r="H277">
        <v>-3.52</v>
      </c>
      <c r="I277" s="1">
        <v>-0.01</v>
      </c>
      <c r="J277">
        <v>353.96</v>
      </c>
      <c r="K277" s="1">
        <v>1.42</v>
      </c>
      <c r="L277">
        <v>-136.13</v>
      </c>
      <c r="M277" s="1">
        <v>-0.54</v>
      </c>
      <c r="N277">
        <v>-4307.2700000000004</v>
      </c>
      <c r="O277" s="1">
        <v>-43.07</v>
      </c>
    </row>
    <row r="278" spans="1:15" ht="15.75" customHeight="1" x14ac:dyDescent="0.25">
      <c r="A278">
        <v>139</v>
      </c>
      <c r="B278" t="s">
        <v>80</v>
      </c>
      <c r="C278" s="2">
        <v>45910.375</v>
      </c>
      <c r="D278" t="s">
        <v>77</v>
      </c>
      <c r="E278">
        <v>112773.9</v>
      </c>
      <c r="F278">
        <v>0.120211</v>
      </c>
      <c r="G278">
        <v>13406.543796100001</v>
      </c>
      <c r="H278">
        <v>-160.9</v>
      </c>
      <c r="I278" s="1">
        <v>-1.2</v>
      </c>
      <c r="J278">
        <v>92.03</v>
      </c>
      <c r="K278" s="1">
        <v>0.69</v>
      </c>
      <c r="L278">
        <v>-155.47999999999999</v>
      </c>
      <c r="M278" s="1">
        <v>-1.1599999999999999</v>
      </c>
      <c r="N278">
        <v>-4473.53</v>
      </c>
      <c r="O278" s="1">
        <v>-44.74</v>
      </c>
    </row>
    <row r="279" spans="1:15" ht="15.75" customHeight="1" x14ac:dyDescent="0.25">
      <c r="A279">
        <v>139</v>
      </c>
      <c r="B279" t="s">
        <v>82</v>
      </c>
      <c r="C279" s="2">
        <v>45909.645833333343</v>
      </c>
      <c r="D279" t="s">
        <v>83</v>
      </c>
      <c r="E279">
        <v>111525.1</v>
      </c>
      <c r="F279">
        <v>0.120211</v>
      </c>
      <c r="G279">
        <v>13406.543796100001</v>
      </c>
      <c r="H279">
        <v>-160.9</v>
      </c>
      <c r="I279" s="1">
        <v>-1.2</v>
      </c>
      <c r="J279">
        <v>92.03</v>
      </c>
      <c r="K279" s="1">
        <v>0.69</v>
      </c>
      <c r="L279">
        <v>-155.47999999999999</v>
      </c>
      <c r="M279" s="1">
        <v>-1.1599999999999999</v>
      </c>
      <c r="N279">
        <v>-4473.53</v>
      </c>
      <c r="O279" s="1">
        <v>-44.74</v>
      </c>
    </row>
    <row r="280" spans="1:15" ht="15.75" customHeight="1" x14ac:dyDescent="0.25">
      <c r="A280">
        <v>140</v>
      </c>
      <c r="B280" t="s">
        <v>80</v>
      </c>
      <c r="C280" s="2">
        <v>45910.375</v>
      </c>
      <c r="D280" t="s">
        <v>77</v>
      </c>
      <c r="E280">
        <v>112773.9</v>
      </c>
      <c r="F280">
        <v>0.120212</v>
      </c>
      <c r="G280">
        <v>13406.6553212</v>
      </c>
      <c r="H280">
        <v>-160.91</v>
      </c>
      <c r="I280" s="1">
        <v>-1.2</v>
      </c>
      <c r="J280">
        <v>92.03</v>
      </c>
      <c r="K280" s="1">
        <v>0.69</v>
      </c>
      <c r="L280">
        <v>-155.47999999999999</v>
      </c>
      <c r="M280" s="1">
        <v>-1.1599999999999999</v>
      </c>
      <c r="N280">
        <v>-4629.08</v>
      </c>
      <c r="O280" s="1">
        <v>-46.29</v>
      </c>
    </row>
    <row r="281" spans="1:15" ht="15.75" customHeight="1" x14ac:dyDescent="0.25">
      <c r="A281">
        <v>140</v>
      </c>
      <c r="B281" t="s">
        <v>82</v>
      </c>
      <c r="C281" s="2">
        <v>45909.645833333343</v>
      </c>
      <c r="D281" t="s">
        <v>83</v>
      </c>
      <c r="E281">
        <v>111525.1</v>
      </c>
      <c r="F281">
        <v>0.120212</v>
      </c>
      <c r="G281">
        <v>13406.6553212</v>
      </c>
      <c r="H281">
        <v>-160.91</v>
      </c>
      <c r="I281" s="1">
        <v>-1.2</v>
      </c>
      <c r="J281">
        <v>92.03</v>
      </c>
      <c r="K281" s="1">
        <v>0.69</v>
      </c>
      <c r="L281">
        <v>-155.47999999999999</v>
      </c>
      <c r="M281" s="1">
        <v>-1.1599999999999999</v>
      </c>
      <c r="N281">
        <v>-4629.08</v>
      </c>
      <c r="O281" s="1">
        <v>-46.29</v>
      </c>
    </row>
    <row r="282" spans="1:15" ht="15.75" customHeight="1" x14ac:dyDescent="0.25">
      <c r="A282">
        <v>141</v>
      </c>
      <c r="B282" t="s">
        <v>76</v>
      </c>
      <c r="C282" s="2">
        <v>45912.052083333343</v>
      </c>
      <c r="D282" t="s">
        <v>84</v>
      </c>
      <c r="E282">
        <v>115813.3</v>
      </c>
      <c r="F282">
        <v>0.19702700000000001</v>
      </c>
      <c r="G282">
        <v>22218.439249499999</v>
      </c>
      <c r="H282">
        <v>581.89</v>
      </c>
      <c r="I282" s="1">
        <v>2.62</v>
      </c>
      <c r="J282">
        <v>591.02</v>
      </c>
      <c r="K282" s="1">
        <v>2.66</v>
      </c>
      <c r="L282">
        <v>-148.47999999999999</v>
      </c>
      <c r="M282" s="1">
        <v>-0.67</v>
      </c>
      <c r="N282">
        <v>-4056.07</v>
      </c>
      <c r="O282" s="1">
        <v>-40.56</v>
      </c>
    </row>
    <row r="283" spans="1:15" ht="15.75" customHeight="1" x14ac:dyDescent="0.25">
      <c r="A283">
        <v>141</v>
      </c>
      <c r="B283" t="s">
        <v>78</v>
      </c>
      <c r="C283" s="2">
        <v>45910.375</v>
      </c>
      <c r="D283" t="s">
        <v>79</v>
      </c>
      <c r="E283">
        <v>112768.5</v>
      </c>
      <c r="F283">
        <v>0.19702700000000001</v>
      </c>
      <c r="G283">
        <v>22218.439249499999</v>
      </c>
      <c r="H283">
        <v>581.89</v>
      </c>
      <c r="I283" s="1">
        <v>2.62</v>
      </c>
      <c r="J283">
        <v>591.02</v>
      </c>
      <c r="K283" s="1">
        <v>2.66</v>
      </c>
      <c r="L283">
        <v>-148.47999999999999</v>
      </c>
      <c r="M283" s="1">
        <v>-0.67</v>
      </c>
      <c r="N283">
        <v>-4056.07</v>
      </c>
      <c r="O283" s="1">
        <v>-40.56</v>
      </c>
    </row>
    <row r="284" spans="1:15" ht="15.75" customHeight="1" x14ac:dyDescent="0.25">
      <c r="A284">
        <v>142</v>
      </c>
      <c r="B284" t="s">
        <v>76</v>
      </c>
      <c r="C284" s="2">
        <v>45915.40625</v>
      </c>
      <c r="D284" t="s">
        <v>85</v>
      </c>
      <c r="E284">
        <v>114728.2</v>
      </c>
      <c r="F284">
        <v>0.19702700000000001</v>
      </c>
      <c r="G284">
        <v>22218.439249499999</v>
      </c>
      <c r="H284">
        <v>368.18</v>
      </c>
      <c r="I284" s="1">
        <v>1.66</v>
      </c>
      <c r="J284">
        <v>777.53</v>
      </c>
      <c r="K284" s="1">
        <v>3.5</v>
      </c>
      <c r="L284">
        <v>-148.47999999999999</v>
      </c>
      <c r="M284" s="1">
        <v>-0.67</v>
      </c>
      <c r="N284">
        <v>-3679</v>
      </c>
      <c r="O284" s="1">
        <v>-36.79</v>
      </c>
    </row>
    <row r="285" spans="1:15" ht="15.75" customHeight="1" x14ac:dyDescent="0.25">
      <c r="A285">
        <v>142</v>
      </c>
      <c r="B285" t="s">
        <v>78</v>
      </c>
      <c r="C285" s="2">
        <v>45910.375</v>
      </c>
      <c r="D285" t="s">
        <v>79</v>
      </c>
      <c r="E285">
        <v>112768.5</v>
      </c>
      <c r="F285">
        <v>0.19702700000000001</v>
      </c>
      <c r="G285">
        <v>22218.439249499999</v>
      </c>
      <c r="H285">
        <v>368.18</v>
      </c>
      <c r="I285" s="1">
        <v>1.66</v>
      </c>
      <c r="J285">
        <v>777.53</v>
      </c>
      <c r="K285" s="1">
        <v>3.5</v>
      </c>
      <c r="L285">
        <v>-148.47999999999999</v>
      </c>
      <c r="M285" s="1">
        <v>-0.67</v>
      </c>
      <c r="N285">
        <v>-3679</v>
      </c>
      <c r="O285" s="1">
        <v>-36.79</v>
      </c>
    </row>
    <row r="286" spans="1:15" ht="15.75" customHeight="1" x14ac:dyDescent="0.25">
      <c r="A286">
        <v>143</v>
      </c>
      <c r="B286" t="s">
        <v>80</v>
      </c>
      <c r="C286" s="2">
        <v>45916.291666666657</v>
      </c>
      <c r="D286" t="s">
        <v>77</v>
      </c>
      <c r="E286">
        <v>115913</v>
      </c>
      <c r="F286">
        <v>0.12341299999999999</v>
      </c>
      <c r="G286">
        <v>14155.0391545</v>
      </c>
      <c r="H286">
        <v>-161.52000000000001</v>
      </c>
      <c r="I286" s="1">
        <v>-1.1399999999999999</v>
      </c>
      <c r="J286">
        <v>38.520000000000003</v>
      </c>
      <c r="K286" s="1">
        <v>0.27</v>
      </c>
      <c r="L286">
        <v>-155.79</v>
      </c>
      <c r="M286" s="1">
        <v>-1.1000000000000001</v>
      </c>
      <c r="N286">
        <v>-3846.18</v>
      </c>
      <c r="O286" s="1">
        <v>-38.46</v>
      </c>
    </row>
    <row r="287" spans="1:15" ht="15.75" customHeight="1" x14ac:dyDescent="0.25">
      <c r="A287">
        <v>143</v>
      </c>
      <c r="B287" t="s">
        <v>82</v>
      </c>
      <c r="C287" s="2">
        <v>45915.40625</v>
      </c>
      <c r="D287" t="s">
        <v>83</v>
      </c>
      <c r="E287">
        <v>114696.5</v>
      </c>
      <c r="F287">
        <v>0.12341299999999999</v>
      </c>
      <c r="G287">
        <v>14155.0391545</v>
      </c>
      <c r="H287">
        <v>-161.52000000000001</v>
      </c>
      <c r="I287" s="1">
        <v>-1.1399999999999999</v>
      </c>
      <c r="J287">
        <v>38.520000000000003</v>
      </c>
      <c r="K287" s="1">
        <v>0.27</v>
      </c>
      <c r="L287">
        <v>-155.79</v>
      </c>
      <c r="M287" s="1">
        <v>-1.1000000000000001</v>
      </c>
      <c r="N287">
        <v>-3846.18</v>
      </c>
      <c r="O287" s="1">
        <v>-38.46</v>
      </c>
    </row>
    <row r="288" spans="1:15" ht="15.75" customHeight="1" x14ac:dyDescent="0.25">
      <c r="A288">
        <v>144</v>
      </c>
      <c r="B288" t="s">
        <v>80</v>
      </c>
      <c r="C288" s="2">
        <v>45916.291666666657</v>
      </c>
      <c r="D288" t="s">
        <v>77</v>
      </c>
      <c r="E288">
        <v>115913</v>
      </c>
      <c r="F288">
        <v>0.123414</v>
      </c>
      <c r="G288">
        <v>14155.153850999999</v>
      </c>
      <c r="H288">
        <v>-161.52000000000001</v>
      </c>
      <c r="I288" s="1">
        <v>-1.1399999999999999</v>
      </c>
      <c r="J288">
        <v>38.520000000000003</v>
      </c>
      <c r="K288" s="1">
        <v>0.27</v>
      </c>
      <c r="L288">
        <v>-155.80000000000001</v>
      </c>
      <c r="M288" s="1">
        <v>-1.1000000000000001</v>
      </c>
      <c r="N288">
        <v>-4002.03</v>
      </c>
      <c r="O288" s="1">
        <v>-40.020000000000003</v>
      </c>
    </row>
    <row r="289" spans="1:15" ht="15.75" customHeight="1" x14ac:dyDescent="0.25">
      <c r="A289">
        <v>144</v>
      </c>
      <c r="B289" t="s">
        <v>82</v>
      </c>
      <c r="C289" s="2">
        <v>45915.40625</v>
      </c>
      <c r="D289" t="s">
        <v>83</v>
      </c>
      <c r="E289">
        <v>114696.5</v>
      </c>
      <c r="F289">
        <v>0.123414</v>
      </c>
      <c r="G289">
        <v>14155.153850999999</v>
      </c>
      <c r="H289">
        <v>-161.52000000000001</v>
      </c>
      <c r="I289" s="1">
        <v>-1.1399999999999999</v>
      </c>
      <c r="J289">
        <v>38.520000000000003</v>
      </c>
      <c r="K289" s="1">
        <v>0.27</v>
      </c>
      <c r="L289">
        <v>-155.80000000000001</v>
      </c>
      <c r="M289" s="1">
        <v>-1.1000000000000001</v>
      </c>
      <c r="N289">
        <v>-4002.03</v>
      </c>
      <c r="O289" s="1">
        <v>-40.020000000000003</v>
      </c>
    </row>
    <row r="290" spans="1:15" ht="15.75" customHeight="1" x14ac:dyDescent="0.25">
      <c r="A290">
        <v>145</v>
      </c>
      <c r="B290" t="s">
        <v>76</v>
      </c>
      <c r="C290" s="2">
        <v>45916.604166666657</v>
      </c>
      <c r="D290" t="s">
        <v>77</v>
      </c>
      <c r="E290">
        <v>115036.8</v>
      </c>
      <c r="F290">
        <v>0.21560499999999999</v>
      </c>
      <c r="G290">
        <v>25000.025004499999</v>
      </c>
      <c r="H290">
        <v>-217.44</v>
      </c>
      <c r="I290" s="1">
        <v>-0.87</v>
      </c>
      <c r="J290">
        <v>0</v>
      </c>
      <c r="K290" s="1">
        <v>0</v>
      </c>
      <c r="L290">
        <v>-207.52</v>
      </c>
      <c r="M290" s="1">
        <v>-0.83</v>
      </c>
      <c r="N290">
        <v>-4229.47</v>
      </c>
      <c r="O290" s="1">
        <v>-42.29</v>
      </c>
    </row>
    <row r="291" spans="1:15" ht="15.75" customHeight="1" x14ac:dyDescent="0.25">
      <c r="A291">
        <v>145</v>
      </c>
      <c r="B291" t="s">
        <v>78</v>
      </c>
      <c r="C291" s="2">
        <v>45916.291666666657</v>
      </c>
      <c r="D291" t="s">
        <v>79</v>
      </c>
      <c r="E291">
        <v>115952.9</v>
      </c>
      <c r="F291">
        <v>0.21560499999999999</v>
      </c>
      <c r="G291">
        <v>25000.025004499999</v>
      </c>
      <c r="H291">
        <v>-217.44</v>
      </c>
      <c r="I291" s="1">
        <v>-0.87</v>
      </c>
      <c r="J291">
        <v>0</v>
      </c>
      <c r="K291" s="1">
        <v>0</v>
      </c>
      <c r="L291">
        <v>-207.52</v>
      </c>
      <c r="M291" s="1">
        <v>-0.83</v>
      </c>
      <c r="N291">
        <v>-4229.47</v>
      </c>
      <c r="O291" s="1">
        <v>-42.29</v>
      </c>
    </row>
    <row r="292" spans="1:15" ht="15.75" customHeight="1" x14ac:dyDescent="0.25">
      <c r="A292">
        <v>146</v>
      </c>
      <c r="B292" t="s">
        <v>76</v>
      </c>
      <c r="C292" s="2">
        <v>45916.604166666657</v>
      </c>
      <c r="D292" t="s">
        <v>77</v>
      </c>
      <c r="E292">
        <v>115036.8</v>
      </c>
      <c r="F292">
        <v>0.21560599999999999</v>
      </c>
      <c r="G292">
        <v>25000.140957399999</v>
      </c>
      <c r="H292">
        <v>-217.44</v>
      </c>
      <c r="I292" s="1">
        <v>-0.87</v>
      </c>
      <c r="J292">
        <v>0</v>
      </c>
      <c r="K292" s="1">
        <v>0</v>
      </c>
      <c r="L292">
        <v>-207.52</v>
      </c>
      <c r="M292" s="1">
        <v>-0.83</v>
      </c>
      <c r="N292">
        <v>-4436.91</v>
      </c>
      <c r="O292" s="1">
        <v>-44.37</v>
      </c>
    </row>
    <row r="293" spans="1:15" ht="15.75" customHeight="1" x14ac:dyDescent="0.25">
      <c r="A293">
        <v>146</v>
      </c>
      <c r="B293" t="s">
        <v>78</v>
      </c>
      <c r="C293" s="2">
        <v>45916.291666666657</v>
      </c>
      <c r="D293" t="s">
        <v>79</v>
      </c>
      <c r="E293">
        <v>115952.9</v>
      </c>
      <c r="F293">
        <v>0.21560599999999999</v>
      </c>
      <c r="G293">
        <v>25000.140957399999</v>
      </c>
      <c r="H293">
        <v>-217.44</v>
      </c>
      <c r="I293" s="1">
        <v>-0.87</v>
      </c>
      <c r="J293">
        <v>0</v>
      </c>
      <c r="K293" s="1">
        <v>0</v>
      </c>
      <c r="L293">
        <v>-207.52</v>
      </c>
      <c r="M293" s="1">
        <v>-0.83</v>
      </c>
      <c r="N293">
        <v>-4436.91</v>
      </c>
      <c r="O293" s="1">
        <v>-44.37</v>
      </c>
    </row>
    <row r="294" spans="1:15" ht="15.75" customHeight="1" x14ac:dyDescent="0.25">
      <c r="A294">
        <v>147</v>
      </c>
      <c r="B294" t="s">
        <v>76</v>
      </c>
      <c r="C294" s="2">
        <v>45917.635416666657</v>
      </c>
      <c r="D294" t="s">
        <v>85</v>
      </c>
      <c r="E294">
        <v>115751.4</v>
      </c>
      <c r="F294">
        <v>0.21732000000000001</v>
      </c>
      <c r="G294">
        <v>25000.101623999999</v>
      </c>
      <c r="H294">
        <v>134.93</v>
      </c>
      <c r="I294" s="1">
        <v>0.54</v>
      </c>
      <c r="J294">
        <v>474.23</v>
      </c>
      <c r="K294" s="1">
        <v>1.9</v>
      </c>
      <c r="L294">
        <v>-105.23</v>
      </c>
      <c r="M294" s="1">
        <v>-0.42</v>
      </c>
      <c r="N294">
        <v>-4311.9799999999996</v>
      </c>
      <c r="O294" s="1">
        <v>-43.12</v>
      </c>
    </row>
    <row r="295" spans="1:15" ht="15.75" customHeight="1" x14ac:dyDescent="0.25">
      <c r="A295">
        <v>147</v>
      </c>
      <c r="B295" t="s">
        <v>78</v>
      </c>
      <c r="C295" s="2">
        <v>45916.604166666657</v>
      </c>
      <c r="D295" t="s">
        <v>79</v>
      </c>
      <c r="E295">
        <v>115038.2</v>
      </c>
      <c r="F295">
        <v>0.21732000000000001</v>
      </c>
      <c r="G295">
        <v>25000.101623999999</v>
      </c>
      <c r="H295">
        <v>134.93</v>
      </c>
      <c r="I295" s="1">
        <v>0.54</v>
      </c>
      <c r="J295">
        <v>474.23</v>
      </c>
      <c r="K295" s="1">
        <v>1.9</v>
      </c>
      <c r="L295">
        <v>-105.23</v>
      </c>
      <c r="M295" s="1">
        <v>-0.42</v>
      </c>
      <c r="N295">
        <v>-4311.9799999999996</v>
      </c>
      <c r="O295" s="1">
        <v>-43.12</v>
      </c>
    </row>
    <row r="296" spans="1:15" ht="15.75" customHeight="1" x14ac:dyDescent="0.25">
      <c r="A296">
        <v>148</v>
      </c>
      <c r="B296" t="s">
        <v>76</v>
      </c>
      <c r="C296" s="2">
        <v>45917.635416666657</v>
      </c>
      <c r="D296" t="s">
        <v>85</v>
      </c>
      <c r="E296">
        <v>115751.4</v>
      </c>
      <c r="F296">
        <v>0.21732000000000001</v>
      </c>
      <c r="G296">
        <v>25000.101623999999</v>
      </c>
      <c r="H296">
        <v>134.93</v>
      </c>
      <c r="I296" s="1">
        <v>0.54</v>
      </c>
      <c r="J296">
        <v>474.23</v>
      </c>
      <c r="K296" s="1">
        <v>1.9</v>
      </c>
      <c r="L296">
        <v>-105.23</v>
      </c>
      <c r="M296" s="1">
        <v>-0.42</v>
      </c>
      <c r="N296">
        <v>-4167.05</v>
      </c>
      <c r="O296" s="1">
        <v>-41.67</v>
      </c>
    </row>
    <row r="297" spans="1:15" ht="15.75" customHeight="1" x14ac:dyDescent="0.25">
      <c r="A297">
        <v>148</v>
      </c>
      <c r="B297" t="s">
        <v>78</v>
      </c>
      <c r="C297" s="2">
        <v>45916.604166666657</v>
      </c>
      <c r="D297" t="s">
        <v>79</v>
      </c>
      <c r="E297">
        <v>115038.2</v>
      </c>
      <c r="F297">
        <v>0.21732000000000001</v>
      </c>
      <c r="G297">
        <v>25000.101623999999</v>
      </c>
      <c r="H297">
        <v>134.93</v>
      </c>
      <c r="I297" s="1">
        <v>0.54</v>
      </c>
      <c r="J297">
        <v>474.23</v>
      </c>
      <c r="K297" s="1">
        <v>1.9</v>
      </c>
      <c r="L297">
        <v>-105.23</v>
      </c>
      <c r="M297" s="1">
        <v>-0.42</v>
      </c>
      <c r="N297">
        <v>-4167.05</v>
      </c>
      <c r="O297" s="1">
        <v>-41.67</v>
      </c>
    </row>
    <row r="298" spans="1:15" ht="15.75" customHeight="1" x14ac:dyDescent="0.25">
      <c r="A298">
        <v>149</v>
      </c>
      <c r="B298" t="s">
        <v>80</v>
      </c>
      <c r="C298" s="2">
        <v>45917.833333333343</v>
      </c>
      <c r="D298" t="s">
        <v>81</v>
      </c>
      <c r="E298">
        <v>115519.9</v>
      </c>
      <c r="F298">
        <v>0.16602</v>
      </c>
      <c r="G298">
        <v>19193.538995999999</v>
      </c>
      <c r="H298">
        <v>-0.42</v>
      </c>
      <c r="I298" s="1">
        <v>0</v>
      </c>
      <c r="J298">
        <v>156.1</v>
      </c>
      <c r="K298" s="1">
        <v>0.81</v>
      </c>
      <c r="L298">
        <v>-124.92</v>
      </c>
      <c r="M298" s="1">
        <v>-0.65</v>
      </c>
      <c r="N298">
        <v>-4175.1499999999996</v>
      </c>
      <c r="O298" s="1">
        <v>-41.75</v>
      </c>
    </row>
    <row r="299" spans="1:15" ht="15.75" customHeight="1" x14ac:dyDescent="0.25">
      <c r="A299">
        <v>149</v>
      </c>
      <c r="B299" t="s">
        <v>82</v>
      </c>
      <c r="C299" s="2">
        <v>45917.635416666657</v>
      </c>
      <c r="D299" t="s">
        <v>83</v>
      </c>
      <c r="E299">
        <v>115609.8</v>
      </c>
      <c r="F299">
        <v>0.16602</v>
      </c>
      <c r="G299">
        <v>19193.538995999999</v>
      </c>
      <c r="H299">
        <v>-0.42</v>
      </c>
      <c r="I299" s="1">
        <v>0</v>
      </c>
      <c r="J299">
        <v>156.1</v>
      </c>
      <c r="K299" s="1">
        <v>0.81</v>
      </c>
      <c r="L299">
        <v>-124.92</v>
      </c>
      <c r="M299" s="1">
        <v>-0.65</v>
      </c>
      <c r="N299">
        <v>-4175.1499999999996</v>
      </c>
      <c r="O299" s="1">
        <v>-41.75</v>
      </c>
    </row>
    <row r="300" spans="1:15" ht="15.75" customHeight="1" x14ac:dyDescent="0.25">
      <c r="A300">
        <v>150</v>
      </c>
      <c r="B300" t="s">
        <v>80</v>
      </c>
      <c r="C300" s="2">
        <v>45917.833333333343</v>
      </c>
      <c r="D300" t="s">
        <v>81</v>
      </c>
      <c r="E300">
        <v>115519.9</v>
      </c>
      <c r="F300">
        <v>0.166021</v>
      </c>
      <c r="G300">
        <v>19193.654605799999</v>
      </c>
      <c r="H300">
        <v>-0.42</v>
      </c>
      <c r="I300" s="1">
        <v>0</v>
      </c>
      <c r="J300">
        <v>156.1</v>
      </c>
      <c r="K300" s="1">
        <v>0.81</v>
      </c>
      <c r="L300">
        <v>-124.92</v>
      </c>
      <c r="M300" s="1">
        <v>-0.65</v>
      </c>
      <c r="N300">
        <v>-4167.8900000000003</v>
      </c>
      <c r="O300" s="1">
        <v>-41.68</v>
      </c>
    </row>
    <row r="301" spans="1:15" ht="15.75" customHeight="1" x14ac:dyDescent="0.25">
      <c r="A301">
        <v>150</v>
      </c>
      <c r="B301" t="s">
        <v>82</v>
      </c>
      <c r="C301" s="2">
        <v>45917.635416666657</v>
      </c>
      <c r="D301" t="s">
        <v>83</v>
      </c>
      <c r="E301">
        <v>115609.8</v>
      </c>
      <c r="F301">
        <v>0.166021</v>
      </c>
      <c r="G301">
        <v>19193.654605799999</v>
      </c>
      <c r="H301">
        <v>-0.42</v>
      </c>
      <c r="I301" s="1">
        <v>0</v>
      </c>
      <c r="J301">
        <v>156.1</v>
      </c>
      <c r="K301" s="1">
        <v>0.81</v>
      </c>
      <c r="L301">
        <v>-124.92</v>
      </c>
      <c r="M301" s="1">
        <v>-0.65</v>
      </c>
      <c r="N301">
        <v>-4167.8900000000003</v>
      </c>
      <c r="O301" s="1">
        <v>-41.68</v>
      </c>
    </row>
    <row r="302" spans="1:15" ht="15.75" customHeight="1" x14ac:dyDescent="0.25">
      <c r="A302">
        <v>151</v>
      </c>
      <c r="B302" t="s">
        <v>80</v>
      </c>
      <c r="C302" s="2">
        <v>45918.166666666657</v>
      </c>
      <c r="D302" t="s">
        <v>77</v>
      </c>
      <c r="E302">
        <v>117425.3</v>
      </c>
      <c r="F302">
        <v>7.6189000000000007E-2</v>
      </c>
      <c r="G302">
        <v>8796.4390895000015</v>
      </c>
      <c r="H302">
        <v>-157.16999999999999</v>
      </c>
      <c r="I302" s="1">
        <v>-1.79</v>
      </c>
      <c r="J302">
        <v>11.6</v>
      </c>
      <c r="K302" s="1">
        <v>0.13</v>
      </c>
      <c r="L302">
        <v>-153.6</v>
      </c>
      <c r="M302" s="1">
        <v>-1.75</v>
      </c>
      <c r="N302">
        <v>-4328.59</v>
      </c>
      <c r="O302" s="1">
        <v>-43.29</v>
      </c>
    </row>
    <row r="303" spans="1:15" ht="15.75" customHeight="1" x14ac:dyDescent="0.25">
      <c r="A303">
        <v>151</v>
      </c>
      <c r="B303" t="s">
        <v>82</v>
      </c>
      <c r="C303" s="2">
        <v>45917.833333333343</v>
      </c>
      <c r="D303" t="s">
        <v>83</v>
      </c>
      <c r="E303">
        <v>115455.5</v>
      </c>
      <c r="F303">
        <v>7.6189000000000007E-2</v>
      </c>
      <c r="G303">
        <v>8796.4390895000015</v>
      </c>
      <c r="H303">
        <v>-157.16999999999999</v>
      </c>
      <c r="I303" s="1">
        <v>-1.79</v>
      </c>
      <c r="J303">
        <v>11.6</v>
      </c>
      <c r="K303" s="1">
        <v>0.13</v>
      </c>
      <c r="L303">
        <v>-153.6</v>
      </c>
      <c r="M303" s="1">
        <v>-1.75</v>
      </c>
      <c r="N303">
        <v>-4328.59</v>
      </c>
      <c r="O303" s="1">
        <v>-43.29</v>
      </c>
    </row>
    <row r="304" spans="1:15" ht="15.75" customHeight="1" x14ac:dyDescent="0.25">
      <c r="A304">
        <v>152</v>
      </c>
      <c r="B304" t="s">
        <v>80</v>
      </c>
      <c r="C304" s="2">
        <v>45918.166666666657</v>
      </c>
      <c r="D304" t="s">
        <v>77</v>
      </c>
      <c r="E304">
        <v>117425.3</v>
      </c>
      <c r="F304">
        <v>7.6189999999999994E-2</v>
      </c>
      <c r="G304">
        <v>8796.5545449999991</v>
      </c>
      <c r="H304">
        <v>-157.18</v>
      </c>
      <c r="I304" s="1">
        <v>-1.79</v>
      </c>
      <c r="J304">
        <v>11.6</v>
      </c>
      <c r="K304" s="1">
        <v>0.13</v>
      </c>
      <c r="L304">
        <v>-153.6</v>
      </c>
      <c r="M304" s="1">
        <v>-1.75</v>
      </c>
      <c r="N304">
        <v>-4482.24</v>
      </c>
      <c r="O304" s="1">
        <v>-44.82</v>
      </c>
    </row>
    <row r="305" spans="1:15" ht="15.75" customHeight="1" x14ac:dyDescent="0.25">
      <c r="A305">
        <v>152</v>
      </c>
      <c r="B305" t="s">
        <v>82</v>
      </c>
      <c r="C305" s="2">
        <v>45917.833333333343</v>
      </c>
      <c r="D305" t="s">
        <v>83</v>
      </c>
      <c r="E305">
        <v>115455.5</v>
      </c>
      <c r="F305">
        <v>7.6189999999999994E-2</v>
      </c>
      <c r="G305">
        <v>8796.5545449999991</v>
      </c>
      <c r="H305">
        <v>-157.18</v>
      </c>
      <c r="I305" s="1">
        <v>-1.79</v>
      </c>
      <c r="J305">
        <v>11.6</v>
      </c>
      <c r="K305" s="1">
        <v>0.13</v>
      </c>
      <c r="L305">
        <v>-153.6</v>
      </c>
      <c r="M305" s="1">
        <v>-1.75</v>
      </c>
      <c r="N305">
        <v>-4482.24</v>
      </c>
      <c r="O305" s="1">
        <v>-44.82</v>
      </c>
    </row>
    <row r="306" spans="1:15" ht="15.75" customHeight="1" x14ac:dyDescent="0.25">
      <c r="A306">
        <v>153</v>
      </c>
      <c r="B306" t="s">
        <v>76</v>
      </c>
      <c r="C306" s="2">
        <v>45919.572916666657</v>
      </c>
      <c r="D306" t="s">
        <v>77</v>
      </c>
      <c r="E306">
        <v>116074.4</v>
      </c>
      <c r="F306">
        <v>0.15118100000000001</v>
      </c>
      <c r="G306">
        <v>17748.4075104</v>
      </c>
      <c r="H306">
        <v>-214.28</v>
      </c>
      <c r="I306" s="1">
        <v>-1.21</v>
      </c>
      <c r="J306">
        <v>64.98</v>
      </c>
      <c r="K306" s="1">
        <v>0.37</v>
      </c>
      <c r="L306">
        <v>-207.26</v>
      </c>
      <c r="M306" s="1">
        <v>-1.17</v>
      </c>
      <c r="N306">
        <v>-4703.63</v>
      </c>
      <c r="O306" s="1">
        <v>-47.04</v>
      </c>
    </row>
    <row r="307" spans="1:15" ht="15.75" customHeight="1" x14ac:dyDescent="0.25">
      <c r="A307">
        <v>153</v>
      </c>
      <c r="B307" t="s">
        <v>78</v>
      </c>
      <c r="C307" s="2">
        <v>45918.166666666657</v>
      </c>
      <c r="D307" t="s">
        <v>79</v>
      </c>
      <c r="E307">
        <v>117398.39999999999</v>
      </c>
      <c r="F307">
        <v>0.15118100000000001</v>
      </c>
      <c r="G307">
        <v>17748.4075104</v>
      </c>
      <c r="H307">
        <v>-214.28</v>
      </c>
      <c r="I307" s="1">
        <v>-1.21</v>
      </c>
      <c r="J307">
        <v>64.98</v>
      </c>
      <c r="K307" s="1">
        <v>0.37</v>
      </c>
      <c r="L307">
        <v>-207.26</v>
      </c>
      <c r="M307" s="1">
        <v>-1.17</v>
      </c>
      <c r="N307">
        <v>-4703.63</v>
      </c>
      <c r="O307" s="1">
        <v>-47.04</v>
      </c>
    </row>
    <row r="308" spans="1:15" ht="15.75" customHeight="1" x14ac:dyDescent="0.25">
      <c r="A308">
        <v>154</v>
      </c>
      <c r="B308" t="s">
        <v>76</v>
      </c>
      <c r="C308" s="2">
        <v>45919.572916666657</v>
      </c>
      <c r="D308" t="s">
        <v>77</v>
      </c>
      <c r="E308">
        <v>116074.4</v>
      </c>
      <c r="F308">
        <v>0.15118200000000001</v>
      </c>
      <c r="G308">
        <v>17748.524908799998</v>
      </c>
      <c r="H308">
        <v>-214.28</v>
      </c>
      <c r="I308" s="1">
        <v>-1.21</v>
      </c>
      <c r="J308">
        <v>64.98</v>
      </c>
      <c r="K308" s="1">
        <v>0.37</v>
      </c>
      <c r="L308">
        <v>-207.26</v>
      </c>
      <c r="M308" s="1">
        <v>-1.17</v>
      </c>
      <c r="N308">
        <v>-4910.8100000000004</v>
      </c>
      <c r="O308" s="1">
        <v>-49.11</v>
      </c>
    </row>
    <row r="309" spans="1:15" ht="15.75" customHeight="1" x14ac:dyDescent="0.25">
      <c r="A309">
        <v>154</v>
      </c>
      <c r="B309" t="s">
        <v>78</v>
      </c>
      <c r="C309" s="2">
        <v>45918.166666666657</v>
      </c>
      <c r="D309" t="s">
        <v>79</v>
      </c>
      <c r="E309">
        <v>117398.39999999999</v>
      </c>
      <c r="F309">
        <v>0.15118200000000001</v>
      </c>
      <c r="G309">
        <v>17748.524908799998</v>
      </c>
      <c r="H309">
        <v>-214.28</v>
      </c>
      <c r="I309" s="1">
        <v>-1.21</v>
      </c>
      <c r="J309">
        <v>64.98</v>
      </c>
      <c r="K309" s="1">
        <v>0.37</v>
      </c>
      <c r="L309">
        <v>-207.26</v>
      </c>
      <c r="M309" s="1">
        <v>-1.17</v>
      </c>
      <c r="N309">
        <v>-4910.8100000000004</v>
      </c>
      <c r="O309" s="1">
        <v>-49.11</v>
      </c>
    </row>
    <row r="310" spans="1:15" ht="15.75" customHeight="1" x14ac:dyDescent="0.25">
      <c r="A310">
        <v>155</v>
      </c>
      <c r="B310" t="s">
        <v>80</v>
      </c>
      <c r="C310" s="2">
        <v>45919.739583333343</v>
      </c>
      <c r="D310" t="s">
        <v>81</v>
      </c>
      <c r="E310">
        <v>116065.7</v>
      </c>
      <c r="F310">
        <v>0.21528600000000001</v>
      </c>
      <c r="G310">
        <v>24999.785349599999</v>
      </c>
      <c r="H310">
        <v>-7.53</v>
      </c>
      <c r="I310" s="1">
        <v>-0.03</v>
      </c>
      <c r="J310">
        <v>143.97</v>
      </c>
      <c r="K310" s="1">
        <v>0.57999999999999996</v>
      </c>
      <c r="L310">
        <v>-79.69</v>
      </c>
      <c r="M310" s="1">
        <v>-0.32</v>
      </c>
      <c r="N310">
        <v>-4928.34</v>
      </c>
      <c r="O310" s="1">
        <v>-49.28</v>
      </c>
    </row>
    <row r="311" spans="1:15" ht="15.75" customHeight="1" x14ac:dyDescent="0.25">
      <c r="A311">
        <v>155</v>
      </c>
      <c r="B311" t="s">
        <v>82</v>
      </c>
      <c r="C311" s="2">
        <v>45919.572916666657</v>
      </c>
      <c r="D311" t="s">
        <v>83</v>
      </c>
      <c r="E311">
        <v>116123.6</v>
      </c>
      <c r="F311">
        <v>0.21528600000000001</v>
      </c>
      <c r="G311">
        <v>24999.785349599999</v>
      </c>
      <c r="H311">
        <v>-7.53</v>
      </c>
      <c r="I311" s="1">
        <v>-0.03</v>
      </c>
      <c r="J311">
        <v>143.97</v>
      </c>
      <c r="K311" s="1">
        <v>0.57999999999999996</v>
      </c>
      <c r="L311">
        <v>-79.69</v>
      </c>
      <c r="M311" s="1">
        <v>-0.32</v>
      </c>
      <c r="N311">
        <v>-4928.34</v>
      </c>
      <c r="O311" s="1">
        <v>-49.28</v>
      </c>
    </row>
    <row r="312" spans="1:15" ht="15.75" customHeight="1" x14ac:dyDescent="0.25">
      <c r="A312">
        <v>156</v>
      </c>
      <c r="B312" t="s">
        <v>80</v>
      </c>
      <c r="C312" s="2">
        <v>45919.739583333343</v>
      </c>
      <c r="D312" t="s">
        <v>81</v>
      </c>
      <c r="E312">
        <v>116065.7</v>
      </c>
      <c r="F312">
        <v>0.21528700000000001</v>
      </c>
      <c r="G312">
        <v>24999.9014732</v>
      </c>
      <c r="H312">
        <v>-7.53</v>
      </c>
      <c r="I312" s="1">
        <v>-0.03</v>
      </c>
      <c r="J312">
        <v>143.97</v>
      </c>
      <c r="K312" s="1">
        <v>0.57999999999999996</v>
      </c>
      <c r="L312">
        <v>-79.69</v>
      </c>
      <c r="M312" s="1">
        <v>-0.32</v>
      </c>
      <c r="N312">
        <v>-4925.87</v>
      </c>
      <c r="O312" s="1">
        <v>-49.26</v>
      </c>
    </row>
    <row r="313" spans="1:15" ht="15.75" customHeight="1" x14ac:dyDescent="0.25">
      <c r="A313">
        <v>156</v>
      </c>
      <c r="B313" t="s">
        <v>82</v>
      </c>
      <c r="C313" s="2">
        <v>45919.572916666657</v>
      </c>
      <c r="D313" t="s">
        <v>83</v>
      </c>
      <c r="E313">
        <v>116123.6</v>
      </c>
      <c r="F313">
        <v>0.21528700000000001</v>
      </c>
      <c r="G313">
        <v>24999.9014732</v>
      </c>
      <c r="H313">
        <v>-7.53</v>
      </c>
      <c r="I313" s="1">
        <v>-0.03</v>
      </c>
      <c r="J313">
        <v>143.97</v>
      </c>
      <c r="K313" s="1">
        <v>0.57999999999999996</v>
      </c>
      <c r="L313">
        <v>-79.69</v>
      </c>
      <c r="M313" s="1">
        <v>-0.32</v>
      </c>
      <c r="N313">
        <v>-4925.87</v>
      </c>
      <c r="O313" s="1">
        <v>-49.26</v>
      </c>
    </row>
    <row r="314" spans="1:15" ht="15.75" customHeight="1" x14ac:dyDescent="0.25">
      <c r="A314">
        <v>157</v>
      </c>
      <c r="B314" t="s">
        <v>80</v>
      </c>
      <c r="C314" s="2">
        <v>45920.65625</v>
      </c>
      <c r="D314" t="s">
        <v>81</v>
      </c>
      <c r="E314">
        <v>115948.3</v>
      </c>
      <c r="F314">
        <v>0.18385599999999999</v>
      </c>
      <c r="G314">
        <v>21332.701366400001</v>
      </c>
      <c r="H314">
        <v>-2.15</v>
      </c>
      <c r="I314" s="1">
        <v>-0.01</v>
      </c>
      <c r="J314">
        <v>171.55</v>
      </c>
      <c r="K314" s="1">
        <v>0.8</v>
      </c>
      <c r="L314">
        <v>-9.7100000000000009</v>
      </c>
      <c r="M314" s="1">
        <v>-0.05</v>
      </c>
      <c r="N314">
        <v>-4936.55</v>
      </c>
      <c r="O314" s="1">
        <v>-49.37</v>
      </c>
    </row>
    <row r="315" spans="1:15" ht="15.75" customHeight="1" x14ac:dyDescent="0.25">
      <c r="A315">
        <v>157</v>
      </c>
      <c r="B315" t="s">
        <v>82</v>
      </c>
      <c r="C315" s="2">
        <v>45919.739583333343</v>
      </c>
      <c r="D315" t="s">
        <v>83</v>
      </c>
      <c r="E315">
        <v>116029.4</v>
      </c>
      <c r="F315">
        <v>0.18385599999999999</v>
      </c>
      <c r="G315">
        <v>21332.701366400001</v>
      </c>
      <c r="H315">
        <v>-2.15</v>
      </c>
      <c r="I315" s="1">
        <v>-0.01</v>
      </c>
      <c r="J315">
        <v>171.55</v>
      </c>
      <c r="K315" s="1">
        <v>0.8</v>
      </c>
      <c r="L315">
        <v>-9.7100000000000009</v>
      </c>
      <c r="M315" s="1">
        <v>-0.05</v>
      </c>
      <c r="N315">
        <v>-4936.55</v>
      </c>
      <c r="O315" s="1">
        <v>-49.37</v>
      </c>
    </row>
    <row r="316" spans="1:15" ht="15.75" customHeight="1" x14ac:dyDescent="0.25">
      <c r="A316">
        <v>158</v>
      </c>
      <c r="B316" t="s">
        <v>80</v>
      </c>
      <c r="C316" s="2">
        <v>45920.65625</v>
      </c>
      <c r="D316" t="s">
        <v>81</v>
      </c>
      <c r="E316">
        <v>115948.3</v>
      </c>
      <c r="F316">
        <v>0.18385699999999999</v>
      </c>
      <c r="G316">
        <v>21332.817395800001</v>
      </c>
      <c r="H316">
        <v>-2.15</v>
      </c>
      <c r="I316" s="1">
        <v>-0.01</v>
      </c>
      <c r="J316">
        <v>171.55</v>
      </c>
      <c r="K316" s="1">
        <v>0.8</v>
      </c>
      <c r="L316">
        <v>-9.7100000000000009</v>
      </c>
      <c r="M316" s="1">
        <v>-0.05</v>
      </c>
      <c r="N316">
        <v>-4930.17</v>
      </c>
      <c r="O316" s="1">
        <v>-49.3</v>
      </c>
    </row>
    <row r="317" spans="1:15" ht="15.75" customHeight="1" x14ac:dyDescent="0.25">
      <c r="A317">
        <v>158</v>
      </c>
      <c r="B317" t="s">
        <v>82</v>
      </c>
      <c r="C317" s="2">
        <v>45919.739583333343</v>
      </c>
      <c r="D317" t="s">
        <v>83</v>
      </c>
      <c r="E317">
        <v>116029.4</v>
      </c>
      <c r="F317">
        <v>0.18385699999999999</v>
      </c>
      <c r="G317">
        <v>21332.817395800001</v>
      </c>
      <c r="H317">
        <v>-2.15</v>
      </c>
      <c r="I317" s="1">
        <v>-0.01</v>
      </c>
      <c r="J317">
        <v>171.55</v>
      </c>
      <c r="K317" s="1">
        <v>0.8</v>
      </c>
      <c r="L317">
        <v>-9.7100000000000009</v>
      </c>
      <c r="M317" s="1">
        <v>-0.05</v>
      </c>
      <c r="N317">
        <v>-4930.17</v>
      </c>
      <c r="O317" s="1">
        <v>-49.3</v>
      </c>
    </row>
    <row r="318" spans="1:15" ht="15.75" customHeight="1" x14ac:dyDescent="0.25">
      <c r="A318">
        <v>159</v>
      </c>
      <c r="B318" t="s">
        <v>76</v>
      </c>
      <c r="C318" s="2">
        <v>45920.875</v>
      </c>
      <c r="D318" t="s">
        <v>77</v>
      </c>
      <c r="E318">
        <v>115630.9</v>
      </c>
      <c r="F318">
        <v>0.21570400000000001</v>
      </c>
      <c r="G318">
        <v>25000.007318399999</v>
      </c>
      <c r="H318">
        <v>-77.94</v>
      </c>
      <c r="I318" s="1">
        <v>-0.31</v>
      </c>
      <c r="J318">
        <v>24.43</v>
      </c>
      <c r="K318" s="1">
        <v>0.1</v>
      </c>
      <c r="L318">
        <v>-67.959999999999994</v>
      </c>
      <c r="M318" s="1">
        <v>-0.27</v>
      </c>
      <c r="N318">
        <v>-5018.1099999999997</v>
      </c>
      <c r="O318" s="1">
        <v>-50.18</v>
      </c>
    </row>
    <row r="319" spans="1:15" ht="15.75" customHeight="1" x14ac:dyDescent="0.25">
      <c r="A319">
        <v>159</v>
      </c>
      <c r="B319" t="s">
        <v>78</v>
      </c>
      <c r="C319" s="2">
        <v>45920.65625</v>
      </c>
      <c r="D319" t="s">
        <v>79</v>
      </c>
      <c r="E319">
        <v>115899.6</v>
      </c>
      <c r="F319">
        <v>0.21570400000000001</v>
      </c>
      <c r="G319">
        <v>25000.007318399999</v>
      </c>
      <c r="H319">
        <v>-77.94</v>
      </c>
      <c r="I319" s="1">
        <v>-0.31</v>
      </c>
      <c r="J319">
        <v>24.43</v>
      </c>
      <c r="K319" s="1">
        <v>0.1</v>
      </c>
      <c r="L319">
        <v>-67.959999999999994</v>
      </c>
      <c r="M319" s="1">
        <v>-0.27</v>
      </c>
      <c r="N319">
        <v>-5018.1099999999997</v>
      </c>
      <c r="O319" s="1">
        <v>-50.18</v>
      </c>
    </row>
    <row r="320" spans="1:15" ht="15.75" customHeight="1" x14ac:dyDescent="0.25">
      <c r="A320">
        <v>160</v>
      </c>
      <c r="B320" t="s">
        <v>76</v>
      </c>
      <c r="C320" s="2">
        <v>45920.875</v>
      </c>
      <c r="D320" t="s">
        <v>77</v>
      </c>
      <c r="E320">
        <v>115630.9</v>
      </c>
      <c r="F320">
        <v>0.21570500000000001</v>
      </c>
      <c r="G320">
        <v>25000.123218000001</v>
      </c>
      <c r="H320">
        <v>-77.94</v>
      </c>
      <c r="I320" s="1">
        <v>-0.31</v>
      </c>
      <c r="J320">
        <v>24.43</v>
      </c>
      <c r="K320" s="1">
        <v>0.1</v>
      </c>
      <c r="L320">
        <v>-67.959999999999994</v>
      </c>
      <c r="M320" s="1">
        <v>-0.27</v>
      </c>
      <c r="N320">
        <v>-5086.04</v>
      </c>
      <c r="O320" s="1">
        <v>-50.86</v>
      </c>
    </row>
    <row r="321" spans="1:15" ht="15.75" customHeight="1" x14ac:dyDescent="0.25">
      <c r="A321">
        <v>160</v>
      </c>
      <c r="B321" t="s">
        <v>78</v>
      </c>
      <c r="C321" s="2">
        <v>45920.65625</v>
      </c>
      <c r="D321" t="s">
        <v>79</v>
      </c>
      <c r="E321">
        <v>115899.6</v>
      </c>
      <c r="F321">
        <v>0.21570500000000001</v>
      </c>
      <c r="G321">
        <v>25000.123218000001</v>
      </c>
      <c r="H321">
        <v>-77.94</v>
      </c>
      <c r="I321" s="1">
        <v>-0.31</v>
      </c>
      <c r="J321">
        <v>24.43</v>
      </c>
      <c r="K321" s="1">
        <v>0.1</v>
      </c>
      <c r="L321">
        <v>-67.959999999999994</v>
      </c>
      <c r="M321" s="1">
        <v>-0.27</v>
      </c>
      <c r="N321">
        <v>-5086.04</v>
      </c>
      <c r="O321" s="1">
        <v>-50.86</v>
      </c>
    </row>
    <row r="322" spans="1:15" ht="15.75" customHeight="1" x14ac:dyDescent="0.25">
      <c r="A322">
        <v>161</v>
      </c>
      <c r="B322" t="s">
        <v>76</v>
      </c>
      <c r="C322" s="2">
        <v>45921.4375</v>
      </c>
      <c r="D322" t="s">
        <v>77</v>
      </c>
      <c r="E322">
        <v>115371.9</v>
      </c>
      <c r="F322">
        <v>0.21615599999999999</v>
      </c>
      <c r="G322">
        <v>25000.019338800001</v>
      </c>
      <c r="H322">
        <v>-81.67</v>
      </c>
      <c r="I322" s="1">
        <v>-0.33</v>
      </c>
      <c r="J322">
        <v>39.78</v>
      </c>
      <c r="K322" s="1">
        <v>0.16</v>
      </c>
      <c r="L322">
        <v>-71.69</v>
      </c>
      <c r="M322" s="1">
        <v>-0.28999999999999998</v>
      </c>
      <c r="N322">
        <v>-5177.71</v>
      </c>
      <c r="O322" s="1">
        <v>-51.78</v>
      </c>
    </row>
    <row r="323" spans="1:15" ht="15.75" customHeight="1" x14ac:dyDescent="0.25">
      <c r="A323">
        <v>161</v>
      </c>
      <c r="B323" t="s">
        <v>78</v>
      </c>
      <c r="C323" s="2">
        <v>45920.875</v>
      </c>
      <c r="D323" t="s">
        <v>79</v>
      </c>
      <c r="E323">
        <v>115657.3</v>
      </c>
      <c r="F323">
        <v>0.21615599999999999</v>
      </c>
      <c r="G323">
        <v>25000.019338800001</v>
      </c>
      <c r="H323">
        <v>-81.67</v>
      </c>
      <c r="I323" s="1">
        <v>-0.33</v>
      </c>
      <c r="J323">
        <v>39.78</v>
      </c>
      <c r="K323" s="1">
        <v>0.16</v>
      </c>
      <c r="L323">
        <v>-71.69</v>
      </c>
      <c r="M323" s="1">
        <v>-0.28999999999999998</v>
      </c>
      <c r="N323">
        <v>-5177.71</v>
      </c>
      <c r="O323" s="1">
        <v>-51.78</v>
      </c>
    </row>
    <row r="324" spans="1:15" ht="15.75" customHeight="1" x14ac:dyDescent="0.25">
      <c r="A324">
        <v>162</v>
      </c>
      <c r="B324" t="s">
        <v>76</v>
      </c>
      <c r="C324" s="2">
        <v>45921.4375</v>
      </c>
      <c r="D324" t="s">
        <v>77</v>
      </c>
      <c r="E324">
        <v>115371.9</v>
      </c>
      <c r="F324">
        <v>0.21615699999999999</v>
      </c>
      <c r="G324">
        <v>25000.134996100001</v>
      </c>
      <c r="H324">
        <v>-81.67</v>
      </c>
      <c r="I324" s="1">
        <v>-0.33</v>
      </c>
      <c r="J324">
        <v>39.78</v>
      </c>
      <c r="K324" s="1">
        <v>0.16</v>
      </c>
      <c r="L324">
        <v>-71.69</v>
      </c>
      <c r="M324" s="1">
        <v>-0.28999999999999998</v>
      </c>
      <c r="N324">
        <v>-5249.38</v>
      </c>
      <c r="O324" s="1">
        <v>-52.49</v>
      </c>
    </row>
    <row r="325" spans="1:15" ht="15.75" customHeight="1" x14ac:dyDescent="0.25">
      <c r="A325">
        <v>162</v>
      </c>
      <c r="B325" t="s">
        <v>78</v>
      </c>
      <c r="C325" s="2">
        <v>45920.875</v>
      </c>
      <c r="D325" t="s">
        <v>79</v>
      </c>
      <c r="E325">
        <v>115657.3</v>
      </c>
      <c r="F325">
        <v>0.21615699999999999</v>
      </c>
      <c r="G325">
        <v>25000.134996100001</v>
      </c>
      <c r="H325">
        <v>-81.67</v>
      </c>
      <c r="I325" s="1">
        <v>-0.33</v>
      </c>
      <c r="J325">
        <v>39.78</v>
      </c>
      <c r="K325" s="1">
        <v>0.16</v>
      </c>
      <c r="L325">
        <v>-71.69</v>
      </c>
      <c r="M325" s="1">
        <v>-0.28999999999999998</v>
      </c>
      <c r="N325">
        <v>-5249.38</v>
      </c>
      <c r="O325" s="1">
        <v>-52.49</v>
      </c>
    </row>
    <row r="326" spans="1:15" ht="15.75" customHeight="1" x14ac:dyDescent="0.25">
      <c r="A326">
        <v>163</v>
      </c>
      <c r="B326" t="s">
        <v>80</v>
      </c>
      <c r="C326" s="2">
        <v>45922.072916666657</v>
      </c>
      <c r="D326" t="s">
        <v>84</v>
      </c>
      <c r="E326">
        <v>114417</v>
      </c>
      <c r="F326">
        <v>0.216533</v>
      </c>
      <c r="G326">
        <v>24999.860821599999</v>
      </c>
      <c r="H326">
        <v>204.89</v>
      </c>
      <c r="I326" s="1">
        <v>0.82</v>
      </c>
      <c r="J326">
        <v>214.8</v>
      </c>
      <c r="K326" s="1">
        <v>0.86</v>
      </c>
      <c r="L326">
        <v>-63.85</v>
      </c>
      <c r="M326" s="1">
        <v>-0.26</v>
      </c>
      <c r="N326">
        <v>-5054.4799999999996</v>
      </c>
      <c r="O326" s="1">
        <v>-50.54</v>
      </c>
    </row>
    <row r="327" spans="1:15" ht="15.75" customHeight="1" x14ac:dyDescent="0.25">
      <c r="A327">
        <v>163</v>
      </c>
      <c r="B327" t="s">
        <v>82</v>
      </c>
      <c r="C327" s="2">
        <v>45921.4375</v>
      </c>
      <c r="D327" t="s">
        <v>83</v>
      </c>
      <c r="E327">
        <v>115455.2</v>
      </c>
      <c r="F327">
        <v>0.216533</v>
      </c>
      <c r="G327">
        <v>24999.860821599999</v>
      </c>
      <c r="H327">
        <v>204.89</v>
      </c>
      <c r="I327" s="1">
        <v>0.82</v>
      </c>
      <c r="J327">
        <v>214.8</v>
      </c>
      <c r="K327" s="1">
        <v>0.86</v>
      </c>
      <c r="L327">
        <v>-63.85</v>
      </c>
      <c r="M327" s="1">
        <v>-0.26</v>
      </c>
      <c r="N327">
        <v>-5054.4799999999996</v>
      </c>
      <c r="O327" s="1">
        <v>-50.54</v>
      </c>
    </row>
    <row r="328" spans="1:15" ht="15.75" customHeight="1" x14ac:dyDescent="0.25">
      <c r="A328">
        <v>164</v>
      </c>
      <c r="B328" t="s">
        <v>80</v>
      </c>
      <c r="C328" s="2">
        <v>45922.072916666657</v>
      </c>
      <c r="D328" t="s">
        <v>85</v>
      </c>
      <c r="E328">
        <v>114336.4</v>
      </c>
      <c r="F328">
        <v>0.216533</v>
      </c>
      <c r="G328">
        <v>24999.860821599999</v>
      </c>
      <c r="H328">
        <v>222.35</v>
      </c>
      <c r="I328" s="1">
        <v>0.89</v>
      </c>
      <c r="J328">
        <v>278.68</v>
      </c>
      <c r="K328" s="1">
        <v>1.1100000000000001</v>
      </c>
      <c r="L328">
        <v>-63.85</v>
      </c>
      <c r="M328" s="1">
        <v>-0.26</v>
      </c>
      <c r="N328">
        <v>-4822.13</v>
      </c>
      <c r="O328" s="1">
        <v>-48.22</v>
      </c>
    </row>
    <row r="329" spans="1:15" ht="15.75" customHeight="1" x14ac:dyDescent="0.25">
      <c r="A329">
        <v>164</v>
      </c>
      <c r="B329" t="s">
        <v>82</v>
      </c>
      <c r="C329" s="2">
        <v>45921.4375</v>
      </c>
      <c r="D329" t="s">
        <v>83</v>
      </c>
      <c r="E329">
        <v>115455.2</v>
      </c>
      <c r="F329">
        <v>0.216533</v>
      </c>
      <c r="G329">
        <v>24999.860821599999</v>
      </c>
      <c r="H329">
        <v>222.35</v>
      </c>
      <c r="I329" s="1">
        <v>0.89</v>
      </c>
      <c r="J329">
        <v>278.68</v>
      </c>
      <c r="K329" s="1">
        <v>1.1100000000000001</v>
      </c>
      <c r="L329">
        <v>-63.85</v>
      </c>
      <c r="M329" s="1">
        <v>-0.26</v>
      </c>
      <c r="N329">
        <v>-4822.13</v>
      </c>
      <c r="O329" s="1">
        <v>-48.22</v>
      </c>
    </row>
    <row r="330" spans="1:15" ht="15.75" customHeight="1" x14ac:dyDescent="0.25">
      <c r="A330">
        <v>165</v>
      </c>
      <c r="B330" t="s">
        <v>80</v>
      </c>
      <c r="C330" s="2">
        <v>45922.291666666657</v>
      </c>
      <c r="D330" t="s">
        <v>84</v>
      </c>
      <c r="E330">
        <v>111945</v>
      </c>
      <c r="F330">
        <v>0.172121</v>
      </c>
      <c r="G330">
        <v>19718.009639</v>
      </c>
      <c r="H330">
        <v>434.33</v>
      </c>
      <c r="I330" s="1">
        <v>2.2000000000000002</v>
      </c>
      <c r="J330">
        <v>442.04</v>
      </c>
      <c r="K330" s="1">
        <v>2.2400000000000002</v>
      </c>
      <c r="L330">
        <v>-32.159999999999997</v>
      </c>
      <c r="M330" s="1">
        <v>-0.16</v>
      </c>
      <c r="N330">
        <v>-4395.68</v>
      </c>
      <c r="O330" s="1">
        <v>-43.96</v>
      </c>
    </row>
    <row r="331" spans="1:15" ht="15.75" customHeight="1" x14ac:dyDescent="0.25">
      <c r="A331">
        <v>165</v>
      </c>
      <c r="B331" t="s">
        <v>82</v>
      </c>
      <c r="C331" s="2">
        <v>45922.083333333343</v>
      </c>
      <c r="D331" t="s">
        <v>83</v>
      </c>
      <c r="E331">
        <v>114559</v>
      </c>
      <c r="F331">
        <v>0.172121</v>
      </c>
      <c r="G331">
        <v>19718.009639</v>
      </c>
      <c r="H331">
        <v>434.33</v>
      </c>
      <c r="I331" s="1">
        <v>2.2000000000000002</v>
      </c>
      <c r="J331">
        <v>442.04</v>
      </c>
      <c r="K331" s="1">
        <v>2.2400000000000002</v>
      </c>
      <c r="L331">
        <v>-32.159999999999997</v>
      </c>
      <c r="M331" s="1">
        <v>-0.16</v>
      </c>
      <c r="N331">
        <v>-4395.68</v>
      </c>
      <c r="O331" s="1">
        <v>-43.96</v>
      </c>
    </row>
    <row r="332" spans="1:15" ht="15.75" customHeight="1" x14ac:dyDescent="0.25">
      <c r="A332">
        <v>166</v>
      </c>
      <c r="B332" t="s">
        <v>80</v>
      </c>
      <c r="C332" s="2">
        <v>45922.291666666657</v>
      </c>
      <c r="D332" t="s">
        <v>85</v>
      </c>
      <c r="E332">
        <v>112937.5</v>
      </c>
      <c r="F332">
        <v>0.172121</v>
      </c>
      <c r="G332">
        <v>19718.009639</v>
      </c>
      <c r="H332">
        <v>263.43</v>
      </c>
      <c r="I332" s="1">
        <v>1.34</v>
      </c>
      <c r="J332">
        <v>523.92999999999995</v>
      </c>
      <c r="K332" s="1">
        <v>2.66</v>
      </c>
      <c r="L332">
        <v>-32.159999999999997</v>
      </c>
      <c r="M332" s="1">
        <v>-0.16</v>
      </c>
      <c r="N332">
        <v>-4124.37</v>
      </c>
      <c r="O332" s="1">
        <v>-41.24</v>
      </c>
    </row>
    <row r="333" spans="1:15" ht="15.75" customHeight="1" x14ac:dyDescent="0.25">
      <c r="A333">
        <v>166</v>
      </c>
      <c r="B333" t="s">
        <v>82</v>
      </c>
      <c r="C333" s="2">
        <v>45922.083333333343</v>
      </c>
      <c r="D333" t="s">
        <v>83</v>
      </c>
      <c r="E333">
        <v>114559</v>
      </c>
      <c r="F333">
        <v>0.172121</v>
      </c>
      <c r="G333">
        <v>19718.009639</v>
      </c>
      <c r="H333">
        <v>263.43</v>
      </c>
      <c r="I333" s="1">
        <v>1.34</v>
      </c>
      <c r="J333">
        <v>523.92999999999995</v>
      </c>
      <c r="K333" s="1">
        <v>2.66</v>
      </c>
      <c r="L333">
        <v>-32.159999999999997</v>
      </c>
      <c r="M333" s="1">
        <v>-0.16</v>
      </c>
      <c r="N333">
        <v>-4124.37</v>
      </c>
      <c r="O333" s="1">
        <v>-41.24</v>
      </c>
    </row>
    <row r="334" spans="1:15" ht="15.75" customHeight="1" x14ac:dyDescent="0.25">
      <c r="A334">
        <v>167</v>
      </c>
      <c r="B334" t="s">
        <v>80</v>
      </c>
      <c r="C334" s="2">
        <v>45924.28125</v>
      </c>
      <c r="D334" t="s">
        <v>81</v>
      </c>
      <c r="E334">
        <v>112597.2</v>
      </c>
      <c r="F334">
        <v>9.6877000000000005E-2</v>
      </c>
      <c r="G334">
        <v>10923.0270655</v>
      </c>
      <c r="H334">
        <v>6.22</v>
      </c>
      <c r="I334" s="1">
        <v>0.06</v>
      </c>
      <c r="J334">
        <v>171.61</v>
      </c>
      <c r="K334" s="1">
        <v>1.57</v>
      </c>
      <c r="L334">
        <v>-68.5</v>
      </c>
      <c r="M334" s="1">
        <v>-0.63</v>
      </c>
      <c r="N334">
        <v>-4122.5200000000004</v>
      </c>
      <c r="O334" s="1">
        <v>-41.23</v>
      </c>
    </row>
    <row r="335" spans="1:15" ht="15.75" customHeight="1" x14ac:dyDescent="0.25">
      <c r="A335">
        <v>167</v>
      </c>
      <c r="B335" t="s">
        <v>82</v>
      </c>
      <c r="C335" s="2">
        <v>45922.302083333343</v>
      </c>
      <c r="D335" t="s">
        <v>83</v>
      </c>
      <c r="E335">
        <v>112751.5</v>
      </c>
      <c r="F335">
        <v>9.6877000000000005E-2</v>
      </c>
      <c r="G335">
        <v>10923.0270655</v>
      </c>
      <c r="H335">
        <v>6.22</v>
      </c>
      <c r="I335" s="1">
        <v>0.06</v>
      </c>
      <c r="J335">
        <v>171.61</v>
      </c>
      <c r="K335" s="1">
        <v>1.57</v>
      </c>
      <c r="L335">
        <v>-68.5</v>
      </c>
      <c r="M335" s="1">
        <v>-0.63</v>
      </c>
      <c r="N335">
        <v>-4122.5200000000004</v>
      </c>
      <c r="O335" s="1">
        <v>-41.23</v>
      </c>
    </row>
    <row r="336" spans="1:15" ht="15.75" customHeight="1" x14ac:dyDescent="0.25">
      <c r="A336">
        <v>168</v>
      </c>
      <c r="B336" t="s">
        <v>80</v>
      </c>
      <c r="C336" s="2">
        <v>45924.28125</v>
      </c>
      <c r="D336" t="s">
        <v>81</v>
      </c>
      <c r="E336">
        <v>112597.2</v>
      </c>
      <c r="F336">
        <v>9.6877000000000005E-2</v>
      </c>
      <c r="G336">
        <v>10923.0270655</v>
      </c>
      <c r="H336">
        <v>6.22</v>
      </c>
      <c r="I336" s="1">
        <v>0.06</v>
      </c>
      <c r="J336">
        <v>171.61</v>
      </c>
      <c r="K336" s="1">
        <v>1.57</v>
      </c>
      <c r="L336">
        <v>-68.5</v>
      </c>
      <c r="M336" s="1">
        <v>-0.63</v>
      </c>
      <c r="N336">
        <v>-4111.93</v>
      </c>
      <c r="O336" s="1">
        <v>-41.12</v>
      </c>
    </row>
    <row r="337" spans="1:15" ht="15.75" customHeight="1" x14ac:dyDescent="0.25">
      <c r="A337">
        <v>168</v>
      </c>
      <c r="B337" t="s">
        <v>82</v>
      </c>
      <c r="C337" s="2">
        <v>45922.302083333343</v>
      </c>
      <c r="D337" t="s">
        <v>83</v>
      </c>
      <c r="E337">
        <v>112751.5</v>
      </c>
      <c r="F337">
        <v>9.6877000000000005E-2</v>
      </c>
      <c r="G337">
        <v>10923.0270655</v>
      </c>
      <c r="H337">
        <v>6.22</v>
      </c>
      <c r="I337" s="1">
        <v>0.06</v>
      </c>
      <c r="J337">
        <v>171.61</v>
      </c>
      <c r="K337" s="1">
        <v>1.57</v>
      </c>
      <c r="L337">
        <v>-68.5</v>
      </c>
      <c r="M337" s="1">
        <v>-0.63</v>
      </c>
      <c r="N337">
        <v>-4111.93</v>
      </c>
      <c r="O337" s="1">
        <v>-41.12</v>
      </c>
    </row>
    <row r="338" spans="1:15" ht="15.75" customHeight="1" x14ac:dyDescent="0.25">
      <c r="A338">
        <v>169</v>
      </c>
      <c r="B338" t="s">
        <v>76</v>
      </c>
      <c r="C338" s="2">
        <v>45925.104166666657</v>
      </c>
      <c r="D338" t="s">
        <v>81</v>
      </c>
      <c r="E338">
        <v>112704.4</v>
      </c>
      <c r="F338">
        <v>0.18426799999999999</v>
      </c>
      <c r="G338">
        <v>20747.9134352</v>
      </c>
      <c r="H338">
        <v>3.29</v>
      </c>
      <c r="I338" s="1">
        <v>0.02</v>
      </c>
      <c r="J338">
        <v>231.14</v>
      </c>
      <c r="K338" s="1">
        <v>1.1100000000000001</v>
      </c>
      <c r="L338">
        <v>-52.52</v>
      </c>
      <c r="M338" s="1">
        <v>-0.25</v>
      </c>
      <c r="N338">
        <v>-4116.9399999999996</v>
      </c>
      <c r="O338" s="1">
        <v>-41.17</v>
      </c>
    </row>
    <row r="339" spans="1:15" ht="15.75" customHeight="1" x14ac:dyDescent="0.25">
      <c r="A339">
        <v>169</v>
      </c>
      <c r="B339" t="s">
        <v>78</v>
      </c>
      <c r="C339" s="2">
        <v>45924.28125</v>
      </c>
      <c r="D339" t="s">
        <v>79</v>
      </c>
      <c r="E339">
        <v>112596.4</v>
      </c>
      <c r="F339">
        <v>0.18426799999999999</v>
      </c>
      <c r="G339">
        <v>20747.9134352</v>
      </c>
      <c r="H339">
        <v>3.29</v>
      </c>
      <c r="I339" s="1">
        <v>0.02</v>
      </c>
      <c r="J339">
        <v>231.14</v>
      </c>
      <c r="K339" s="1">
        <v>1.1100000000000001</v>
      </c>
      <c r="L339">
        <v>-52.52</v>
      </c>
      <c r="M339" s="1">
        <v>-0.25</v>
      </c>
      <c r="N339">
        <v>-4116.9399999999996</v>
      </c>
      <c r="O339" s="1">
        <v>-41.17</v>
      </c>
    </row>
    <row r="340" spans="1:15" ht="15.75" customHeight="1" x14ac:dyDescent="0.25">
      <c r="A340">
        <v>170</v>
      </c>
      <c r="B340" t="s">
        <v>76</v>
      </c>
      <c r="C340" s="2">
        <v>45925.104166666657</v>
      </c>
      <c r="D340" t="s">
        <v>81</v>
      </c>
      <c r="E340">
        <v>112704.4</v>
      </c>
      <c r="F340">
        <v>0.18426799999999999</v>
      </c>
      <c r="G340">
        <v>20747.9134352</v>
      </c>
      <c r="H340">
        <v>3.29</v>
      </c>
      <c r="I340" s="1">
        <v>0.02</v>
      </c>
      <c r="J340">
        <v>231.14</v>
      </c>
      <c r="K340" s="1">
        <v>1.1100000000000001</v>
      </c>
      <c r="L340">
        <v>-52.52</v>
      </c>
      <c r="M340" s="1">
        <v>-0.25</v>
      </c>
      <c r="N340">
        <v>-4105.34</v>
      </c>
      <c r="O340" s="1">
        <v>-41.05</v>
      </c>
    </row>
    <row r="341" spans="1:15" ht="15.75" customHeight="1" x14ac:dyDescent="0.25">
      <c r="A341">
        <v>170</v>
      </c>
      <c r="B341" t="s">
        <v>78</v>
      </c>
      <c r="C341" s="2">
        <v>45924.28125</v>
      </c>
      <c r="D341" t="s">
        <v>79</v>
      </c>
      <c r="E341">
        <v>112596.4</v>
      </c>
      <c r="F341">
        <v>0.18426799999999999</v>
      </c>
      <c r="G341">
        <v>20747.9134352</v>
      </c>
      <c r="H341">
        <v>3.29</v>
      </c>
      <c r="I341" s="1">
        <v>0.02</v>
      </c>
      <c r="J341">
        <v>231.14</v>
      </c>
      <c r="K341" s="1">
        <v>1.1100000000000001</v>
      </c>
      <c r="L341">
        <v>-52.52</v>
      </c>
      <c r="M341" s="1">
        <v>-0.25</v>
      </c>
      <c r="N341">
        <v>-4105.34</v>
      </c>
      <c r="O341" s="1">
        <v>-41.05</v>
      </c>
    </row>
    <row r="342" spans="1:15" ht="15.75" customHeight="1" x14ac:dyDescent="0.25">
      <c r="A342">
        <v>171</v>
      </c>
      <c r="B342" t="s">
        <v>80</v>
      </c>
      <c r="C342" s="2">
        <v>45925.770833333343</v>
      </c>
      <c r="D342" t="s">
        <v>84</v>
      </c>
      <c r="E342">
        <v>109707.3</v>
      </c>
      <c r="F342">
        <v>0.153227</v>
      </c>
      <c r="G342">
        <v>17260.056219900001</v>
      </c>
      <c r="H342">
        <v>436.31</v>
      </c>
      <c r="I342" s="1">
        <v>2.5299999999999998</v>
      </c>
      <c r="J342">
        <v>443.03</v>
      </c>
      <c r="K342" s="1">
        <v>2.57</v>
      </c>
      <c r="L342">
        <v>-83.07</v>
      </c>
      <c r="M342" s="1">
        <v>-0.48</v>
      </c>
      <c r="N342">
        <v>-3675.94</v>
      </c>
      <c r="O342" s="1">
        <v>-36.76</v>
      </c>
    </row>
    <row r="343" spans="1:15" ht="15.75" customHeight="1" x14ac:dyDescent="0.25">
      <c r="A343">
        <v>171</v>
      </c>
      <c r="B343" t="s">
        <v>82</v>
      </c>
      <c r="C343" s="2">
        <v>45925.104166666657</v>
      </c>
      <c r="D343" t="s">
        <v>83</v>
      </c>
      <c r="E343">
        <v>112643.7</v>
      </c>
      <c r="F343">
        <v>0.153227</v>
      </c>
      <c r="G343">
        <v>17260.056219900001</v>
      </c>
      <c r="H343">
        <v>436.31</v>
      </c>
      <c r="I343" s="1">
        <v>2.5299999999999998</v>
      </c>
      <c r="J343">
        <v>443.03</v>
      </c>
      <c r="K343" s="1">
        <v>2.57</v>
      </c>
      <c r="L343">
        <v>-83.07</v>
      </c>
      <c r="M343" s="1">
        <v>-0.48</v>
      </c>
      <c r="N343">
        <v>-3675.94</v>
      </c>
      <c r="O343" s="1">
        <v>-36.76</v>
      </c>
    </row>
    <row r="344" spans="1:15" ht="15.75" customHeight="1" x14ac:dyDescent="0.25">
      <c r="A344">
        <v>172</v>
      </c>
      <c r="B344" t="s">
        <v>80</v>
      </c>
      <c r="C344" s="2">
        <v>45928.885416666657</v>
      </c>
      <c r="D344" t="s">
        <v>85</v>
      </c>
      <c r="E344">
        <v>110525.4</v>
      </c>
      <c r="F344">
        <v>0.153228</v>
      </c>
      <c r="G344">
        <v>17260.1688636</v>
      </c>
      <c r="H344">
        <v>310.89999999999998</v>
      </c>
      <c r="I344" s="1">
        <v>1.8</v>
      </c>
      <c r="J344">
        <v>617.91</v>
      </c>
      <c r="K344" s="1">
        <v>3.58</v>
      </c>
      <c r="L344">
        <v>-83.07</v>
      </c>
      <c r="M344" s="1">
        <v>-0.48</v>
      </c>
      <c r="N344">
        <v>-3358.13</v>
      </c>
      <c r="O344" s="1">
        <v>-33.58</v>
      </c>
    </row>
    <row r="345" spans="1:15" ht="15.75" customHeight="1" x14ac:dyDescent="0.25">
      <c r="A345">
        <v>172</v>
      </c>
      <c r="B345" t="s">
        <v>82</v>
      </c>
      <c r="C345" s="2">
        <v>45925.104166666657</v>
      </c>
      <c r="D345" t="s">
        <v>83</v>
      </c>
      <c r="E345">
        <v>112643.7</v>
      </c>
      <c r="F345">
        <v>0.153228</v>
      </c>
      <c r="G345">
        <v>17260.1688636</v>
      </c>
      <c r="H345">
        <v>310.89999999999998</v>
      </c>
      <c r="I345" s="1">
        <v>1.8</v>
      </c>
      <c r="J345">
        <v>617.91</v>
      </c>
      <c r="K345" s="1">
        <v>3.58</v>
      </c>
      <c r="L345">
        <v>-83.07</v>
      </c>
      <c r="M345" s="1">
        <v>-0.48</v>
      </c>
      <c r="N345">
        <v>-3358.13</v>
      </c>
      <c r="O345" s="1">
        <v>-33.58</v>
      </c>
    </row>
    <row r="346" spans="1:15" ht="15.75" customHeight="1" x14ac:dyDescent="0.25">
      <c r="A346">
        <v>173</v>
      </c>
      <c r="B346" t="s">
        <v>76</v>
      </c>
      <c r="C346" s="2">
        <v>45929.5625</v>
      </c>
      <c r="D346" t="s">
        <v>84</v>
      </c>
      <c r="E346">
        <v>112456.7</v>
      </c>
      <c r="F346">
        <v>0.22605900000000001</v>
      </c>
      <c r="G346">
        <v>25000.0456572</v>
      </c>
      <c r="H346">
        <v>401.63</v>
      </c>
      <c r="I346" s="1">
        <v>1.61</v>
      </c>
      <c r="J346">
        <v>411.8</v>
      </c>
      <c r="K346" s="1">
        <v>1.65</v>
      </c>
      <c r="L346">
        <v>-15</v>
      </c>
      <c r="M346" s="1">
        <v>-0.06</v>
      </c>
      <c r="N346">
        <v>-2966.5</v>
      </c>
      <c r="O346" s="1">
        <v>-29.66</v>
      </c>
    </row>
    <row r="347" spans="1:15" ht="15.75" customHeight="1" x14ac:dyDescent="0.25">
      <c r="A347">
        <v>173</v>
      </c>
      <c r="B347" t="s">
        <v>78</v>
      </c>
      <c r="C347" s="2">
        <v>45928.885416666657</v>
      </c>
      <c r="D347" t="s">
        <v>79</v>
      </c>
      <c r="E347">
        <v>110590.8</v>
      </c>
      <c r="F347">
        <v>0.22605900000000001</v>
      </c>
      <c r="G347">
        <v>25000.0456572</v>
      </c>
      <c r="H347">
        <v>401.63</v>
      </c>
      <c r="I347" s="1">
        <v>1.61</v>
      </c>
      <c r="J347">
        <v>411.8</v>
      </c>
      <c r="K347" s="1">
        <v>1.65</v>
      </c>
      <c r="L347">
        <v>-15</v>
      </c>
      <c r="M347" s="1">
        <v>-0.06</v>
      </c>
      <c r="N347">
        <v>-2966.5</v>
      </c>
      <c r="O347" s="1">
        <v>-29.66</v>
      </c>
    </row>
    <row r="348" spans="1:15" ht="15.75" customHeight="1" x14ac:dyDescent="0.25">
      <c r="A348">
        <v>174</v>
      </c>
      <c r="B348" t="s">
        <v>76</v>
      </c>
      <c r="C348" s="2">
        <v>45929.604166666657</v>
      </c>
      <c r="D348" t="s">
        <v>85</v>
      </c>
      <c r="E348">
        <v>113239.9</v>
      </c>
      <c r="F348">
        <v>0.22606000000000001</v>
      </c>
      <c r="G348">
        <v>25000.156247999999</v>
      </c>
      <c r="H348">
        <v>578.62</v>
      </c>
      <c r="I348" s="1">
        <v>2.31</v>
      </c>
      <c r="J348">
        <v>598.76</v>
      </c>
      <c r="K348" s="1">
        <v>2.39</v>
      </c>
      <c r="L348">
        <v>-15</v>
      </c>
      <c r="M348" s="1">
        <v>-0.06</v>
      </c>
      <c r="N348">
        <v>-2377.88</v>
      </c>
      <c r="O348" s="1">
        <v>-23.78</v>
      </c>
    </row>
    <row r="349" spans="1:15" ht="15.75" customHeight="1" x14ac:dyDescent="0.25">
      <c r="A349">
        <v>174</v>
      </c>
      <c r="B349" t="s">
        <v>78</v>
      </c>
      <c r="C349" s="2">
        <v>45928.885416666657</v>
      </c>
      <c r="D349" t="s">
        <v>79</v>
      </c>
      <c r="E349">
        <v>110590.8</v>
      </c>
      <c r="F349">
        <v>0.22606000000000001</v>
      </c>
      <c r="G349">
        <v>25000.156247999999</v>
      </c>
      <c r="H349">
        <v>578.62</v>
      </c>
      <c r="I349" s="1">
        <v>2.31</v>
      </c>
      <c r="J349">
        <v>598.76</v>
      </c>
      <c r="K349" s="1">
        <v>2.39</v>
      </c>
      <c r="L349">
        <v>-15</v>
      </c>
      <c r="M349" s="1">
        <v>-0.06</v>
      </c>
      <c r="N349">
        <v>-2377.88</v>
      </c>
      <c r="O349" s="1">
        <v>-23.78</v>
      </c>
    </row>
    <row r="350" spans="1:15" ht="15.75" customHeight="1" x14ac:dyDescent="0.25">
      <c r="A350">
        <v>175</v>
      </c>
      <c r="B350" t="s">
        <v>76</v>
      </c>
      <c r="C350" s="2">
        <v>45930.416666666657</v>
      </c>
      <c r="D350" t="s">
        <v>81</v>
      </c>
      <c r="E350">
        <v>113284</v>
      </c>
      <c r="F350">
        <v>0.172712</v>
      </c>
      <c r="G350">
        <v>19545.592514399999</v>
      </c>
      <c r="H350">
        <v>4.2699999999999996</v>
      </c>
      <c r="I350" s="1">
        <v>0.02</v>
      </c>
      <c r="J350">
        <v>273.93</v>
      </c>
      <c r="K350" s="1">
        <v>1.4</v>
      </c>
      <c r="L350">
        <v>-13.33</v>
      </c>
      <c r="M350" s="1">
        <v>-7.0000000000000007E-2</v>
      </c>
      <c r="N350">
        <v>-2381.4299999999998</v>
      </c>
      <c r="O350" s="1">
        <v>-23.81</v>
      </c>
    </row>
    <row r="351" spans="1:15" ht="15.75" customHeight="1" x14ac:dyDescent="0.25">
      <c r="A351">
        <v>175</v>
      </c>
      <c r="B351" t="s">
        <v>78</v>
      </c>
      <c r="C351" s="2">
        <v>45929.614583333343</v>
      </c>
      <c r="D351" t="s">
        <v>79</v>
      </c>
      <c r="E351">
        <v>113168.7</v>
      </c>
      <c r="F351">
        <v>0.172712</v>
      </c>
      <c r="G351">
        <v>19545.592514399999</v>
      </c>
      <c r="H351">
        <v>4.2699999999999996</v>
      </c>
      <c r="I351" s="1">
        <v>0.02</v>
      </c>
      <c r="J351">
        <v>273.93</v>
      </c>
      <c r="K351" s="1">
        <v>1.4</v>
      </c>
      <c r="L351">
        <v>-13.33</v>
      </c>
      <c r="M351" s="1">
        <v>-7.0000000000000007E-2</v>
      </c>
      <c r="N351">
        <v>-2381.4299999999998</v>
      </c>
      <c r="O351" s="1">
        <v>-23.81</v>
      </c>
    </row>
    <row r="352" spans="1:15" ht="15.75" customHeight="1" x14ac:dyDescent="0.25">
      <c r="A352">
        <v>176</v>
      </c>
      <c r="B352" t="s">
        <v>76</v>
      </c>
      <c r="C352" s="2">
        <v>45930.416666666657</v>
      </c>
      <c r="D352" t="s">
        <v>81</v>
      </c>
      <c r="E352">
        <v>113284</v>
      </c>
      <c r="F352">
        <v>0.172712</v>
      </c>
      <c r="G352">
        <v>19545.592514399999</v>
      </c>
      <c r="H352">
        <v>4.2699999999999996</v>
      </c>
      <c r="I352" s="1">
        <v>0.02</v>
      </c>
      <c r="J352">
        <v>273.93</v>
      </c>
      <c r="K352" s="1">
        <v>1.4</v>
      </c>
      <c r="L352">
        <v>-13.33</v>
      </c>
      <c r="M352" s="1">
        <v>-7.0000000000000007E-2</v>
      </c>
      <c r="N352">
        <v>-2369.34</v>
      </c>
      <c r="O352" s="1">
        <v>-23.69</v>
      </c>
    </row>
    <row r="353" spans="1:15" ht="15.75" customHeight="1" x14ac:dyDescent="0.25">
      <c r="A353">
        <v>176</v>
      </c>
      <c r="B353" t="s">
        <v>78</v>
      </c>
      <c r="C353" s="2">
        <v>45929.614583333343</v>
      </c>
      <c r="D353" t="s">
        <v>79</v>
      </c>
      <c r="E353">
        <v>113168.7</v>
      </c>
      <c r="F353">
        <v>0.172712</v>
      </c>
      <c r="G353">
        <v>19545.592514399999</v>
      </c>
      <c r="H353">
        <v>4.2699999999999996</v>
      </c>
      <c r="I353" s="1">
        <v>0.02</v>
      </c>
      <c r="J353">
        <v>273.93</v>
      </c>
      <c r="K353" s="1">
        <v>1.4</v>
      </c>
      <c r="L353">
        <v>-13.33</v>
      </c>
      <c r="M353" s="1">
        <v>-7.0000000000000007E-2</v>
      </c>
      <c r="N353">
        <v>-2369.34</v>
      </c>
      <c r="O353" s="1">
        <v>-23.69</v>
      </c>
    </row>
    <row r="354" spans="1:15" ht="15.75" customHeight="1" x14ac:dyDescent="0.25">
      <c r="A354">
        <v>177</v>
      </c>
      <c r="B354" t="s">
        <v>80</v>
      </c>
      <c r="C354" s="2">
        <v>45930.854166666657</v>
      </c>
      <c r="D354" t="s">
        <v>77</v>
      </c>
      <c r="E354">
        <v>113951.2</v>
      </c>
      <c r="F354">
        <v>0.19533300000000001</v>
      </c>
      <c r="G354">
        <v>22108.2186726</v>
      </c>
      <c r="H354">
        <v>-167.96</v>
      </c>
      <c r="I354" s="1">
        <v>-0.76</v>
      </c>
      <c r="J354">
        <v>101.89</v>
      </c>
      <c r="K354" s="1">
        <v>0.46</v>
      </c>
      <c r="L354">
        <v>-159.05000000000001</v>
      </c>
      <c r="M354" s="1">
        <v>-0.72</v>
      </c>
      <c r="N354">
        <v>-2546.14</v>
      </c>
      <c r="O354" s="1">
        <v>-25.46</v>
      </c>
    </row>
    <row r="355" spans="1:15" ht="15.75" customHeight="1" x14ac:dyDescent="0.25">
      <c r="A355">
        <v>177</v>
      </c>
      <c r="B355" t="s">
        <v>82</v>
      </c>
      <c r="C355" s="2">
        <v>45930.416666666657</v>
      </c>
      <c r="D355" t="s">
        <v>83</v>
      </c>
      <c r="E355">
        <v>113182.2</v>
      </c>
      <c r="F355">
        <v>0.19533300000000001</v>
      </c>
      <c r="G355">
        <v>22108.2186726</v>
      </c>
      <c r="H355">
        <v>-167.96</v>
      </c>
      <c r="I355" s="1">
        <v>-0.76</v>
      </c>
      <c r="J355">
        <v>101.89</v>
      </c>
      <c r="K355" s="1">
        <v>0.46</v>
      </c>
      <c r="L355">
        <v>-159.05000000000001</v>
      </c>
      <c r="M355" s="1">
        <v>-0.72</v>
      </c>
      <c r="N355">
        <v>-2546.14</v>
      </c>
      <c r="O355" s="1">
        <v>-25.46</v>
      </c>
    </row>
    <row r="356" spans="1:15" ht="15.75" customHeight="1" x14ac:dyDescent="0.25">
      <c r="A356">
        <v>178</v>
      </c>
      <c r="B356" t="s">
        <v>80</v>
      </c>
      <c r="C356" s="2">
        <v>45930.854166666657</v>
      </c>
      <c r="D356" t="s">
        <v>77</v>
      </c>
      <c r="E356">
        <v>113951.2</v>
      </c>
      <c r="F356">
        <v>0.19533400000000001</v>
      </c>
      <c r="G356">
        <v>22108.331854799999</v>
      </c>
      <c r="H356">
        <v>-167.96</v>
      </c>
      <c r="I356" s="1">
        <v>-0.76</v>
      </c>
      <c r="J356">
        <v>101.89</v>
      </c>
      <c r="K356" s="1">
        <v>0.46</v>
      </c>
      <c r="L356">
        <v>-159.06</v>
      </c>
      <c r="M356" s="1">
        <v>-0.72</v>
      </c>
      <c r="N356">
        <v>-2705.26</v>
      </c>
      <c r="O356" s="1">
        <v>-27.05</v>
      </c>
    </row>
    <row r="357" spans="1:15" ht="15.75" customHeight="1" x14ac:dyDescent="0.25">
      <c r="A357">
        <v>178</v>
      </c>
      <c r="B357" t="s">
        <v>82</v>
      </c>
      <c r="C357" s="2">
        <v>45930.416666666657</v>
      </c>
      <c r="D357" t="s">
        <v>83</v>
      </c>
      <c r="E357">
        <v>113182.2</v>
      </c>
      <c r="F357">
        <v>0.19533400000000001</v>
      </c>
      <c r="G357">
        <v>22108.331854799999</v>
      </c>
      <c r="H357">
        <v>-167.96</v>
      </c>
      <c r="I357" s="1">
        <v>-0.76</v>
      </c>
      <c r="J357">
        <v>101.89</v>
      </c>
      <c r="K357" s="1">
        <v>0.46</v>
      </c>
      <c r="L357">
        <v>-159.06</v>
      </c>
      <c r="M357" s="1">
        <v>-0.72</v>
      </c>
      <c r="N357">
        <v>-2705.26</v>
      </c>
      <c r="O357" s="1">
        <v>-27.05</v>
      </c>
    </row>
    <row r="358" spans="1:15" ht="15.75" customHeight="1" x14ac:dyDescent="0.25">
      <c r="A358">
        <v>179</v>
      </c>
      <c r="B358" t="s">
        <v>76</v>
      </c>
      <c r="C358" s="2">
        <v>45931.635416666657</v>
      </c>
      <c r="D358" t="s">
        <v>84</v>
      </c>
      <c r="E358">
        <v>117330.5</v>
      </c>
      <c r="F358">
        <v>0.18831800000000001</v>
      </c>
      <c r="G358">
        <v>21495.539278200002</v>
      </c>
      <c r="H358">
        <v>582.47</v>
      </c>
      <c r="I358" s="1">
        <v>2.71</v>
      </c>
      <c r="J358">
        <v>591.30999999999995</v>
      </c>
      <c r="K358" s="1">
        <v>2.75</v>
      </c>
      <c r="L358">
        <v>-90.5</v>
      </c>
      <c r="M358" s="1">
        <v>-0.42</v>
      </c>
      <c r="N358">
        <v>-2131.39</v>
      </c>
      <c r="O358" s="1">
        <v>-21.31</v>
      </c>
    </row>
    <row r="359" spans="1:15" ht="15.75" customHeight="1" x14ac:dyDescent="0.25">
      <c r="A359">
        <v>179</v>
      </c>
      <c r="B359" t="s">
        <v>78</v>
      </c>
      <c r="C359" s="2">
        <v>45930.854166666657</v>
      </c>
      <c r="D359" t="s">
        <v>79</v>
      </c>
      <c r="E359">
        <v>114144.9</v>
      </c>
      <c r="F359">
        <v>0.18831800000000001</v>
      </c>
      <c r="G359">
        <v>21495.539278200002</v>
      </c>
      <c r="H359">
        <v>582.47</v>
      </c>
      <c r="I359" s="1">
        <v>2.71</v>
      </c>
      <c r="J359">
        <v>591.30999999999995</v>
      </c>
      <c r="K359" s="1">
        <v>2.75</v>
      </c>
      <c r="L359">
        <v>-90.5</v>
      </c>
      <c r="M359" s="1">
        <v>-0.42</v>
      </c>
      <c r="N359">
        <v>-2131.39</v>
      </c>
      <c r="O359" s="1">
        <v>-21.31</v>
      </c>
    </row>
    <row r="360" spans="1:15" ht="15.75" customHeight="1" x14ac:dyDescent="0.25">
      <c r="A360">
        <v>180</v>
      </c>
      <c r="B360" t="s">
        <v>76</v>
      </c>
      <c r="C360" s="2">
        <v>45932.708333333343</v>
      </c>
      <c r="D360" t="s">
        <v>86</v>
      </c>
      <c r="E360">
        <v>119985.60000000001</v>
      </c>
      <c r="F360">
        <v>0.18831899999999999</v>
      </c>
      <c r="G360">
        <v>21495.653423100001</v>
      </c>
      <c r="H360">
        <v>1082.28</v>
      </c>
      <c r="I360" s="1">
        <v>5.03</v>
      </c>
      <c r="J360">
        <v>1091.32</v>
      </c>
      <c r="K360" s="1">
        <v>5.07</v>
      </c>
      <c r="L360">
        <v>-90.5</v>
      </c>
      <c r="M360" s="1">
        <v>-0.42</v>
      </c>
      <c r="N360">
        <v>-1040.51</v>
      </c>
      <c r="O360" s="1">
        <v>-10.41</v>
      </c>
    </row>
    <row r="361" spans="1:15" ht="15.75" customHeight="1" x14ac:dyDescent="0.25">
      <c r="A361">
        <v>180</v>
      </c>
      <c r="B361" t="s">
        <v>78</v>
      </c>
      <c r="C361" s="2">
        <v>45930.854166666657</v>
      </c>
      <c r="D361" t="s">
        <v>79</v>
      </c>
      <c r="E361">
        <v>114144.9</v>
      </c>
      <c r="F361">
        <v>0.18831899999999999</v>
      </c>
      <c r="G361">
        <v>21495.653423100001</v>
      </c>
      <c r="H361">
        <v>1082.28</v>
      </c>
      <c r="I361" s="1">
        <v>5.03</v>
      </c>
      <c r="J361">
        <v>1091.32</v>
      </c>
      <c r="K361" s="1">
        <v>5.07</v>
      </c>
      <c r="L361">
        <v>-90.5</v>
      </c>
      <c r="M361" s="1">
        <v>-0.42</v>
      </c>
      <c r="N361">
        <v>-1040.51</v>
      </c>
      <c r="O361" s="1">
        <v>-10.41</v>
      </c>
    </row>
    <row r="362" spans="1:15" ht="15.75" customHeight="1" x14ac:dyDescent="0.25">
      <c r="A362">
        <v>181</v>
      </c>
      <c r="B362" t="s">
        <v>76</v>
      </c>
      <c r="C362" s="2">
        <v>45935.239583333343</v>
      </c>
      <c r="D362" t="s">
        <v>84</v>
      </c>
      <c r="E362">
        <v>124737</v>
      </c>
      <c r="F362">
        <v>0.12893399999999999</v>
      </c>
      <c r="G362">
        <v>15482.897562599999</v>
      </c>
      <c r="H362">
        <v>587.32000000000005</v>
      </c>
      <c r="I362" s="1">
        <v>3.79</v>
      </c>
      <c r="J362">
        <v>593.75</v>
      </c>
      <c r="K362" s="1">
        <v>3.83</v>
      </c>
      <c r="L362">
        <v>-120.16</v>
      </c>
      <c r="M362" s="1">
        <v>-0.78</v>
      </c>
      <c r="N362">
        <v>-459.39</v>
      </c>
      <c r="O362" s="1">
        <v>-4.59</v>
      </c>
    </row>
    <row r="363" spans="1:15" ht="15.75" customHeight="1" x14ac:dyDescent="0.25">
      <c r="A363">
        <v>181</v>
      </c>
      <c r="B363" t="s">
        <v>78</v>
      </c>
      <c r="C363" s="2">
        <v>45932.708333333343</v>
      </c>
      <c r="D363" t="s">
        <v>79</v>
      </c>
      <c r="E363">
        <v>120083.9</v>
      </c>
      <c r="F363">
        <v>0.12893399999999999</v>
      </c>
      <c r="G363">
        <v>15482.897562599999</v>
      </c>
      <c r="H363">
        <v>587.32000000000005</v>
      </c>
      <c r="I363" s="1">
        <v>3.79</v>
      </c>
      <c r="J363">
        <v>593.75</v>
      </c>
      <c r="K363" s="1">
        <v>3.83</v>
      </c>
      <c r="L363">
        <v>-120.16</v>
      </c>
      <c r="M363" s="1">
        <v>-0.78</v>
      </c>
      <c r="N363">
        <v>-459.39</v>
      </c>
      <c r="O363" s="1">
        <v>-4.59</v>
      </c>
    </row>
    <row r="364" spans="1:15" ht="15.75" customHeight="1" x14ac:dyDescent="0.25">
      <c r="A364">
        <v>182</v>
      </c>
      <c r="B364" t="s">
        <v>76</v>
      </c>
      <c r="C364" s="2">
        <v>45935.447916666657</v>
      </c>
      <c r="D364" t="s">
        <v>85</v>
      </c>
      <c r="E364">
        <v>122773.4</v>
      </c>
      <c r="F364">
        <v>0.12893499999999999</v>
      </c>
      <c r="G364">
        <v>15483.0176465</v>
      </c>
      <c r="H364">
        <v>334.25</v>
      </c>
      <c r="I364" s="1">
        <v>2.16</v>
      </c>
      <c r="J364">
        <v>740.78</v>
      </c>
      <c r="K364" s="1">
        <v>4.78</v>
      </c>
      <c r="L364">
        <v>-120.16</v>
      </c>
      <c r="M364" s="1">
        <v>-0.78</v>
      </c>
      <c r="N364">
        <v>-118.95</v>
      </c>
      <c r="O364" s="1">
        <v>-1.19</v>
      </c>
    </row>
    <row r="365" spans="1:15" ht="15.75" customHeight="1" x14ac:dyDescent="0.25">
      <c r="A365">
        <v>182</v>
      </c>
      <c r="B365" t="s">
        <v>78</v>
      </c>
      <c r="C365" s="2">
        <v>45932.708333333343</v>
      </c>
      <c r="D365" t="s">
        <v>79</v>
      </c>
      <c r="E365">
        <v>120083.9</v>
      </c>
      <c r="F365">
        <v>0.12893499999999999</v>
      </c>
      <c r="G365">
        <v>15483.0176465</v>
      </c>
      <c r="H365">
        <v>334.25</v>
      </c>
      <c r="I365" s="1">
        <v>2.16</v>
      </c>
      <c r="J365">
        <v>740.78</v>
      </c>
      <c r="K365" s="1">
        <v>4.78</v>
      </c>
      <c r="L365">
        <v>-120.16</v>
      </c>
      <c r="M365" s="1">
        <v>-0.78</v>
      </c>
      <c r="N365">
        <v>-118.95</v>
      </c>
      <c r="O365" s="1">
        <v>-1.19</v>
      </c>
    </row>
    <row r="366" spans="1:15" ht="15.75" customHeight="1" x14ac:dyDescent="0.25">
      <c r="A366">
        <v>183</v>
      </c>
      <c r="B366" t="s">
        <v>80</v>
      </c>
      <c r="C366" s="2">
        <v>45936.552083333343</v>
      </c>
      <c r="D366" t="s">
        <v>77</v>
      </c>
      <c r="E366">
        <v>124602.3</v>
      </c>
      <c r="F366">
        <v>9.3532000000000004E-2</v>
      </c>
      <c r="G366">
        <v>11504.20217</v>
      </c>
      <c r="H366">
        <v>-159.36000000000001</v>
      </c>
      <c r="I366" s="1">
        <v>-1.38</v>
      </c>
      <c r="J366">
        <v>73.73</v>
      </c>
      <c r="K366" s="1">
        <v>0.64</v>
      </c>
      <c r="L366">
        <v>-154.69999999999999</v>
      </c>
      <c r="M366" s="1">
        <v>-1.34</v>
      </c>
      <c r="N366">
        <v>-282.92</v>
      </c>
      <c r="O366" s="1">
        <v>-2.83</v>
      </c>
    </row>
    <row r="367" spans="1:15" ht="15.75" customHeight="1" x14ac:dyDescent="0.25">
      <c r="A367">
        <v>183</v>
      </c>
      <c r="B367" t="s">
        <v>82</v>
      </c>
      <c r="C367" s="2">
        <v>45935.447916666657</v>
      </c>
      <c r="D367" t="s">
        <v>83</v>
      </c>
      <c r="E367">
        <v>122997.5</v>
      </c>
      <c r="F367">
        <v>9.3532000000000004E-2</v>
      </c>
      <c r="G367">
        <v>11504.20217</v>
      </c>
      <c r="H367">
        <v>-159.36000000000001</v>
      </c>
      <c r="I367" s="1">
        <v>-1.38</v>
      </c>
      <c r="J367">
        <v>73.73</v>
      </c>
      <c r="K367" s="1">
        <v>0.64</v>
      </c>
      <c r="L367">
        <v>-154.69999999999999</v>
      </c>
      <c r="M367" s="1">
        <v>-1.34</v>
      </c>
      <c r="N367">
        <v>-282.92</v>
      </c>
      <c r="O367" s="1">
        <v>-2.83</v>
      </c>
    </row>
    <row r="368" spans="1:15" ht="15.75" customHeight="1" x14ac:dyDescent="0.25">
      <c r="A368">
        <v>184</v>
      </c>
      <c r="B368" t="s">
        <v>80</v>
      </c>
      <c r="C368" s="2">
        <v>45936.552083333343</v>
      </c>
      <c r="D368" t="s">
        <v>77</v>
      </c>
      <c r="E368">
        <v>124602.3</v>
      </c>
      <c r="F368">
        <v>9.3533000000000005E-2</v>
      </c>
      <c r="G368">
        <v>11504.325167499999</v>
      </c>
      <c r="H368">
        <v>-159.37</v>
      </c>
      <c r="I368" s="1">
        <v>-1.38</v>
      </c>
      <c r="J368">
        <v>73.73</v>
      </c>
      <c r="K368" s="1">
        <v>0.64</v>
      </c>
      <c r="L368">
        <v>-154.69999999999999</v>
      </c>
      <c r="M368" s="1">
        <v>-1.34</v>
      </c>
      <c r="N368">
        <v>-437.68</v>
      </c>
      <c r="O368" s="1">
        <v>-4.38</v>
      </c>
    </row>
    <row r="369" spans="1:15" ht="15.75" customHeight="1" x14ac:dyDescent="0.25">
      <c r="A369">
        <v>184</v>
      </c>
      <c r="B369" t="s">
        <v>82</v>
      </c>
      <c r="C369" s="2">
        <v>45935.447916666657</v>
      </c>
      <c r="D369" t="s">
        <v>83</v>
      </c>
      <c r="E369">
        <v>122997.5</v>
      </c>
      <c r="F369">
        <v>9.3533000000000005E-2</v>
      </c>
      <c r="G369">
        <v>11504.325167499999</v>
      </c>
      <c r="H369">
        <v>-159.37</v>
      </c>
      <c r="I369" s="1">
        <v>-1.38</v>
      </c>
      <c r="J369">
        <v>73.73</v>
      </c>
      <c r="K369" s="1">
        <v>0.64</v>
      </c>
      <c r="L369">
        <v>-154.69999999999999</v>
      </c>
      <c r="M369" s="1">
        <v>-1.34</v>
      </c>
      <c r="N369">
        <v>-437.68</v>
      </c>
      <c r="O369" s="1">
        <v>-4.38</v>
      </c>
    </row>
    <row r="370" spans="1:15" ht="15.75" customHeight="1" x14ac:dyDescent="0.25">
      <c r="A370">
        <v>185</v>
      </c>
      <c r="B370" t="s">
        <v>76</v>
      </c>
      <c r="C370" s="2">
        <v>45937.09375</v>
      </c>
      <c r="D370" t="s">
        <v>81</v>
      </c>
      <c r="E370">
        <v>124444.2</v>
      </c>
      <c r="F370">
        <v>0.17157</v>
      </c>
      <c r="G370">
        <v>21330.972117000001</v>
      </c>
      <c r="H370">
        <v>2.85</v>
      </c>
      <c r="I370" s="1">
        <v>0.01</v>
      </c>
      <c r="J370">
        <v>314.08999999999997</v>
      </c>
      <c r="K370" s="1">
        <v>1.47</v>
      </c>
      <c r="L370">
        <v>-29.89</v>
      </c>
      <c r="M370" s="1">
        <v>-0.14000000000000001</v>
      </c>
      <c r="N370">
        <v>-443.37</v>
      </c>
      <c r="O370" s="1">
        <v>-4.43</v>
      </c>
    </row>
    <row r="371" spans="1:15" ht="15.75" customHeight="1" x14ac:dyDescent="0.25">
      <c r="A371">
        <v>185</v>
      </c>
      <c r="B371" t="s">
        <v>78</v>
      </c>
      <c r="C371" s="2">
        <v>45936.552083333343</v>
      </c>
      <c r="D371" t="s">
        <v>79</v>
      </c>
      <c r="E371">
        <v>124328.1</v>
      </c>
      <c r="F371">
        <v>0.17157</v>
      </c>
      <c r="G371">
        <v>21330.972117000001</v>
      </c>
      <c r="H371">
        <v>2.85</v>
      </c>
      <c r="I371" s="1">
        <v>0.01</v>
      </c>
      <c r="J371">
        <v>314.08999999999997</v>
      </c>
      <c r="K371" s="1">
        <v>1.47</v>
      </c>
      <c r="L371">
        <v>-29.89</v>
      </c>
      <c r="M371" s="1">
        <v>-0.14000000000000001</v>
      </c>
      <c r="N371">
        <v>-443.37</v>
      </c>
      <c r="O371" s="1">
        <v>-4.43</v>
      </c>
    </row>
    <row r="372" spans="1:15" ht="15.75" customHeight="1" x14ac:dyDescent="0.25">
      <c r="A372">
        <v>186</v>
      </c>
      <c r="B372" t="s">
        <v>76</v>
      </c>
      <c r="C372" s="2">
        <v>45937.09375</v>
      </c>
      <c r="D372" t="s">
        <v>81</v>
      </c>
      <c r="E372">
        <v>124444.2</v>
      </c>
      <c r="F372">
        <v>0.171571</v>
      </c>
      <c r="G372">
        <v>21331.0964451</v>
      </c>
      <c r="H372">
        <v>2.85</v>
      </c>
      <c r="I372" s="1">
        <v>0.01</v>
      </c>
      <c r="J372">
        <v>314.08999999999997</v>
      </c>
      <c r="K372" s="1">
        <v>1.47</v>
      </c>
      <c r="L372">
        <v>-29.89</v>
      </c>
      <c r="M372" s="1">
        <v>-0.14000000000000001</v>
      </c>
      <c r="N372">
        <v>-431.99</v>
      </c>
      <c r="O372" s="1">
        <v>-4.32</v>
      </c>
    </row>
    <row r="373" spans="1:15" ht="15.75" customHeight="1" x14ac:dyDescent="0.25">
      <c r="A373">
        <v>186</v>
      </c>
      <c r="B373" t="s">
        <v>78</v>
      </c>
      <c r="C373" s="2">
        <v>45936.552083333343</v>
      </c>
      <c r="D373" t="s">
        <v>79</v>
      </c>
      <c r="E373">
        <v>124328.1</v>
      </c>
      <c r="F373">
        <v>0.171571</v>
      </c>
      <c r="G373">
        <v>21331.0964451</v>
      </c>
      <c r="H373">
        <v>2.85</v>
      </c>
      <c r="I373" s="1">
        <v>0.01</v>
      </c>
      <c r="J373">
        <v>314.08999999999997</v>
      </c>
      <c r="K373" s="1">
        <v>1.47</v>
      </c>
      <c r="L373">
        <v>-29.89</v>
      </c>
      <c r="M373" s="1">
        <v>-0.14000000000000001</v>
      </c>
      <c r="N373">
        <v>-431.99</v>
      </c>
      <c r="O373" s="1">
        <v>-4.32</v>
      </c>
    </row>
    <row r="374" spans="1:15" ht="15.75" customHeight="1" x14ac:dyDescent="0.25">
      <c r="A374">
        <v>187</v>
      </c>
      <c r="B374" t="s">
        <v>76</v>
      </c>
      <c r="C374" s="2">
        <v>45937.354166666657</v>
      </c>
      <c r="D374" t="s">
        <v>77</v>
      </c>
      <c r="E374">
        <v>123518.9</v>
      </c>
      <c r="F374">
        <v>0.17503199999999999</v>
      </c>
      <c r="G374">
        <v>21819.944203200001</v>
      </c>
      <c r="H374">
        <v>-217.56</v>
      </c>
      <c r="I374" s="1">
        <v>-1</v>
      </c>
      <c r="J374">
        <v>6.85</v>
      </c>
      <c r="K374" s="1">
        <v>0.03</v>
      </c>
      <c r="L374">
        <v>-208.91</v>
      </c>
      <c r="M374" s="1">
        <v>-0.96</v>
      </c>
      <c r="N374">
        <v>-658.27</v>
      </c>
      <c r="O374" s="1">
        <v>-6.58</v>
      </c>
    </row>
    <row r="375" spans="1:15" ht="15.75" customHeight="1" x14ac:dyDescent="0.25">
      <c r="A375">
        <v>187</v>
      </c>
      <c r="B375" t="s">
        <v>78</v>
      </c>
      <c r="C375" s="2">
        <v>45937.09375</v>
      </c>
      <c r="D375" t="s">
        <v>79</v>
      </c>
      <c r="E375">
        <v>124662.6</v>
      </c>
      <c r="F375">
        <v>0.17503199999999999</v>
      </c>
      <c r="G375">
        <v>21819.944203200001</v>
      </c>
      <c r="H375">
        <v>-217.56</v>
      </c>
      <c r="I375" s="1">
        <v>-1</v>
      </c>
      <c r="J375">
        <v>6.85</v>
      </c>
      <c r="K375" s="1">
        <v>0.03</v>
      </c>
      <c r="L375">
        <v>-208.91</v>
      </c>
      <c r="M375" s="1">
        <v>-0.96</v>
      </c>
      <c r="N375">
        <v>-658.27</v>
      </c>
      <c r="O375" s="1">
        <v>-6.58</v>
      </c>
    </row>
    <row r="376" spans="1:15" ht="15.75" customHeight="1" x14ac:dyDescent="0.25">
      <c r="A376">
        <v>188</v>
      </c>
      <c r="B376" t="s">
        <v>76</v>
      </c>
      <c r="C376" s="2">
        <v>45937.354166666657</v>
      </c>
      <c r="D376" t="s">
        <v>77</v>
      </c>
      <c r="E376">
        <v>123518.9</v>
      </c>
      <c r="F376">
        <v>0.17503299999999999</v>
      </c>
      <c r="G376">
        <v>21820.0688658</v>
      </c>
      <c r="H376">
        <v>-217.56</v>
      </c>
      <c r="I376" s="1">
        <v>-1</v>
      </c>
      <c r="J376">
        <v>6.85</v>
      </c>
      <c r="K376" s="1">
        <v>0.03</v>
      </c>
      <c r="L376">
        <v>-208.91</v>
      </c>
      <c r="M376" s="1">
        <v>-0.96</v>
      </c>
      <c r="N376">
        <v>-867.11</v>
      </c>
      <c r="O376" s="1">
        <v>-8.67</v>
      </c>
    </row>
    <row r="377" spans="1:15" ht="15.75" customHeight="1" x14ac:dyDescent="0.25">
      <c r="A377">
        <v>188</v>
      </c>
      <c r="B377" t="s">
        <v>78</v>
      </c>
      <c r="C377" s="2">
        <v>45937.09375</v>
      </c>
      <c r="D377" t="s">
        <v>79</v>
      </c>
      <c r="E377">
        <v>124662.6</v>
      </c>
      <c r="F377">
        <v>0.17503299999999999</v>
      </c>
      <c r="G377">
        <v>21820.0688658</v>
      </c>
      <c r="H377">
        <v>-217.56</v>
      </c>
      <c r="I377" s="1">
        <v>-1</v>
      </c>
      <c r="J377">
        <v>6.85</v>
      </c>
      <c r="K377" s="1">
        <v>0.03</v>
      </c>
      <c r="L377">
        <v>-208.91</v>
      </c>
      <c r="M377" s="1">
        <v>-0.96</v>
      </c>
      <c r="N377">
        <v>-867.11</v>
      </c>
      <c r="O377" s="1">
        <v>-8.67</v>
      </c>
    </row>
    <row r="378" spans="1:15" ht="15.75" customHeight="1" x14ac:dyDescent="0.25">
      <c r="A378">
        <v>189</v>
      </c>
      <c r="B378" t="s">
        <v>80</v>
      </c>
      <c r="C378" s="2">
        <v>45937.572916666657</v>
      </c>
      <c r="D378" t="s">
        <v>77</v>
      </c>
      <c r="E378">
        <v>124688.5</v>
      </c>
      <c r="F378">
        <v>0.14349999999999999</v>
      </c>
      <c r="G378">
        <v>17742.655699999999</v>
      </c>
      <c r="H378">
        <v>-164.4</v>
      </c>
      <c r="I378" s="1">
        <v>-0.93</v>
      </c>
      <c r="J378">
        <v>47.52</v>
      </c>
      <c r="K378" s="1">
        <v>0.27</v>
      </c>
      <c r="L378">
        <v>-157.24</v>
      </c>
      <c r="M378" s="1">
        <v>-0.89</v>
      </c>
      <c r="N378">
        <v>-1038.5999999999999</v>
      </c>
      <c r="O378" s="1">
        <v>-10.39</v>
      </c>
    </row>
    <row r="379" spans="1:15" ht="15.75" customHeight="1" x14ac:dyDescent="0.25">
      <c r="A379">
        <v>189</v>
      </c>
      <c r="B379" t="s">
        <v>82</v>
      </c>
      <c r="C379" s="2">
        <v>45937.354166666657</v>
      </c>
      <c r="D379" t="s">
        <v>83</v>
      </c>
      <c r="E379">
        <v>123642.2</v>
      </c>
      <c r="F379">
        <v>0.14349999999999999</v>
      </c>
      <c r="G379">
        <v>17742.655699999999</v>
      </c>
      <c r="H379">
        <v>-164.4</v>
      </c>
      <c r="I379" s="1">
        <v>-0.93</v>
      </c>
      <c r="J379">
        <v>47.52</v>
      </c>
      <c r="K379" s="1">
        <v>0.27</v>
      </c>
      <c r="L379">
        <v>-157.24</v>
      </c>
      <c r="M379" s="1">
        <v>-0.89</v>
      </c>
      <c r="N379">
        <v>-1038.5999999999999</v>
      </c>
      <c r="O379" s="1">
        <v>-10.39</v>
      </c>
    </row>
    <row r="380" spans="1:15" ht="15.75" customHeight="1" x14ac:dyDescent="0.25">
      <c r="A380">
        <v>190</v>
      </c>
      <c r="B380" t="s">
        <v>80</v>
      </c>
      <c r="C380" s="2">
        <v>45937.572916666657</v>
      </c>
      <c r="D380" t="s">
        <v>77</v>
      </c>
      <c r="E380">
        <v>124688.5</v>
      </c>
      <c r="F380">
        <v>0.14350099999999999</v>
      </c>
      <c r="G380">
        <v>17742.7793422</v>
      </c>
      <c r="H380">
        <v>-164.4</v>
      </c>
      <c r="I380" s="1">
        <v>-0.93</v>
      </c>
      <c r="J380">
        <v>47.52</v>
      </c>
      <c r="K380" s="1">
        <v>0.27</v>
      </c>
      <c r="L380">
        <v>-157.24</v>
      </c>
      <c r="M380" s="1">
        <v>-0.89</v>
      </c>
      <c r="N380">
        <v>-1195.9000000000001</v>
      </c>
      <c r="O380" s="1">
        <v>-11.96</v>
      </c>
    </row>
    <row r="381" spans="1:15" ht="15.75" customHeight="1" x14ac:dyDescent="0.25">
      <c r="A381">
        <v>190</v>
      </c>
      <c r="B381" t="s">
        <v>82</v>
      </c>
      <c r="C381" s="2">
        <v>45937.354166666657</v>
      </c>
      <c r="D381" t="s">
        <v>83</v>
      </c>
      <c r="E381">
        <v>123642.2</v>
      </c>
      <c r="F381">
        <v>0.14350099999999999</v>
      </c>
      <c r="G381">
        <v>17742.7793422</v>
      </c>
      <c r="H381">
        <v>-164.4</v>
      </c>
      <c r="I381" s="1">
        <v>-0.93</v>
      </c>
      <c r="J381">
        <v>47.52</v>
      </c>
      <c r="K381" s="1">
        <v>0.27</v>
      </c>
      <c r="L381">
        <v>-157.24</v>
      </c>
      <c r="M381" s="1">
        <v>-0.89</v>
      </c>
      <c r="N381">
        <v>-1195.9000000000001</v>
      </c>
      <c r="O381" s="1">
        <v>-11.96</v>
      </c>
    </row>
    <row r="382" spans="1:15" ht="15.75" customHeight="1" x14ac:dyDescent="0.25">
      <c r="A382">
        <v>191</v>
      </c>
      <c r="B382" t="s">
        <v>76</v>
      </c>
      <c r="C382" s="2">
        <v>45937.604166666657</v>
      </c>
      <c r="D382" t="s">
        <v>77</v>
      </c>
      <c r="E382">
        <v>123908.3</v>
      </c>
      <c r="F382">
        <v>0.200209</v>
      </c>
      <c r="G382">
        <v>25000.097829999999</v>
      </c>
      <c r="H382">
        <v>-212.46</v>
      </c>
      <c r="I382" s="1">
        <v>-0.85</v>
      </c>
      <c r="J382">
        <v>18.61</v>
      </c>
      <c r="K382" s="1">
        <v>7.0000000000000007E-2</v>
      </c>
      <c r="L382">
        <v>-202.54</v>
      </c>
      <c r="M382" s="1">
        <v>-0.81</v>
      </c>
      <c r="N382">
        <v>-1418.37</v>
      </c>
      <c r="O382" s="1">
        <v>-14.18</v>
      </c>
    </row>
    <row r="383" spans="1:15" ht="15.75" customHeight="1" x14ac:dyDescent="0.25">
      <c r="A383">
        <v>191</v>
      </c>
      <c r="B383" t="s">
        <v>78</v>
      </c>
      <c r="C383" s="2">
        <v>45937.572916666657</v>
      </c>
      <c r="D383" t="s">
        <v>79</v>
      </c>
      <c r="E383">
        <v>124870</v>
      </c>
      <c r="F383">
        <v>0.200209</v>
      </c>
      <c r="G383">
        <v>25000.097829999999</v>
      </c>
      <c r="H383">
        <v>-212.46</v>
      </c>
      <c r="I383" s="1">
        <v>-0.85</v>
      </c>
      <c r="J383">
        <v>18.61</v>
      </c>
      <c r="K383" s="1">
        <v>7.0000000000000007E-2</v>
      </c>
      <c r="L383">
        <v>-202.54</v>
      </c>
      <c r="M383" s="1">
        <v>-0.81</v>
      </c>
      <c r="N383">
        <v>-1418.37</v>
      </c>
      <c r="O383" s="1">
        <v>-14.18</v>
      </c>
    </row>
    <row r="384" spans="1:15" ht="15.75" customHeight="1" x14ac:dyDescent="0.25">
      <c r="A384">
        <v>192</v>
      </c>
      <c r="B384" t="s">
        <v>76</v>
      </c>
      <c r="C384" s="2">
        <v>45937.604166666657</v>
      </c>
      <c r="D384" t="s">
        <v>77</v>
      </c>
      <c r="E384">
        <v>123908.3</v>
      </c>
      <c r="F384">
        <v>0.200209</v>
      </c>
      <c r="G384">
        <v>25000.097829999999</v>
      </c>
      <c r="H384">
        <v>-212.46</v>
      </c>
      <c r="I384" s="1">
        <v>-0.85</v>
      </c>
      <c r="J384">
        <v>18.61</v>
      </c>
      <c r="K384" s="1">
        <v>7.0000000000000007E-2</v>
      </c>
      <c r="L384">
        <v>-202.54</v>
      </c>
      <c r="M384" s="1">
        <v>-0.81</v>
      </c>
      <c r="N384">
        <v>-1620.83</v>
      </c>
      <c r="O384" s="1">
        <v>-16.21</v>
      </c>
    </row>
    <row r="385" spans="1:15" ht="15.75" customHeight="1" x14ac:dyDescent="0.25">
      <c r="A385">
        <v>192</v>
      </c>
      <c r="B385" t="s">
        <v>78</v>
      </c>
      <c r="C385" s="2">
        <v>45937.572916666657</v>
      </c>
      <c r="D385" t="s">
        <v>79</v>
      </c>
      <c r="E385">
        <v>124870</v>
      </c>
      <c r="F385">
        <v>0.200209</v>
      </c>
      <c r="G385">
        <v>25000.097829999999</v>
      </c>
      <c r="H385">
        <v>-212.46</v>
      </c>
      <c r="I385" s="1">
        <v>-0.85</v>
      </c>
      <c r="J385">
        <v>18.61</v>
      </c>
      <c r="K385" s="1">
        <v>7.0000000000000007E-2</v>
      </c>
      <c r="L385">
        <v>-202.54</v>
      </c>
      <c r="M385" s="1">
        <v>-0.81</v>
      </c>
      <c r="N385">
        <v>-1620.83</v>
      </c>
      <c r="O385" s="1">
        <v>-16.21</v>
      </c>
    </row>
    <row r="386" spans="1:15" ht="15.75" customHeight="1" x14ac:dyDescent="0.25">
      <c r="A386">
        <v>193</v>
      </c>
      <c r="B386" t="s">
        <v>80</v>
      </c>
      <c r="C386" s="2">
        <v>45938.479166666657</v>
      </c>
      <c r="D386" t="s">
        <v>85</v>
      </c>
      <c r="E386">
        <v>123051.3</v>
      </c>
      <c r="F386">
        <v>0.11840199999999999</v>
      </c>
      <c r="G386">
        <v>14650.305707199999</v>
      </c>
      <c r="H386">
        <v>69.099999999999994</v>
      </c>
      <c r="I386" s="1">
        <v>0.47</v>
      </c>
      <c r="J386">
        <v>375.11</v>
      </c>
      <c r="K386" s="1">
        <v>2.56</v>
      </c>
      <c r="L386">
        <v>-30.67</v>
      </c>
      <c r="M386" s="1">
        <v>-0.21</v>
      </c>
      <c r="N386">
        <v>-1557.6</v>
      </c>
      <c r="O386" s="1">
        <v>-15.58</v>
      </c>
    </row>
    <row r="387" spans="1:15" ht="15.75" customHeight="1" x14ac:dyDescent="0.25">
      <c r="A387">
        <v>193</v>
      </c>
      <c r="B387" t="s">
        <v>82</v>
      </c>
      <c r="C387" s="2">
        <v>45937.604166666657</v>
      </c>
      <c r="D387" t="s">
        <v>83</v>
      </c>
      <c r="E387">
        <v>123733.6</v>
      </c>
      <c r="F387">
        <v>0.11840199999999999</v>
      </c>
      <c r="G387">
        <v>14650.305707199999</v>
      </c>
      <c r="H387">
        <v>69.099999999999994</v>
      </c>
      <c r="I387" s="1">
        <v>0.47</v>
      </c>
      <c r="J387">
        <v>375.11</v>
      </c>
      <c r="K387" s="1">
        <v>2.56</v>
      </c>
      <c r="L387">
        <v>-30.67</v>
      </c>
      <c r="M387" s="1">
        <v>-0.21</v>
      </c>
      <c r="N387">
        <v>-1557.6</v>
      </c>
      <c r="O387" s="1">
        <v>-15.58</v>
      </c>
    </row>
    <row r="388" spans="1:15" ht="15.75" customHeight="1" x14ac:dyDescent="0.25">
      <c r="A388">
        <v>194</v>
      </c>
      <c r="B388" t="s">
        <v>80</v>
      </c>
      <c r="C388" s="2">
        <v>45938.479166666657</v>
      </c>
      <c r="D388" t="s">
        <v>85</v>
      </c>
      <c r="E388">
        <v>123051.3</v>
      </c>
      <c r="F388">
        <v>0.11840299999999999</v>
      </c>
      <c r="G388">
        <v>14650.429440800001</v>
      </c>
      <c r="H388">
        <v>69.099999999999994</v>
      </c>
      <c r="I388" s="1">
        <v>0.47</v>
      </c>
      <c r="J388">
        <v>375.11</v>
      </c>
      <c r="K388" s="1">
        <v>2.56</v>
      </c>
      <c r="L388">
        <v>-30.67</v>
      </c>
      <c r="M388" s="1">
        <v>-0.21</v>
      </c>
      <c r="N388">
        <v>-1482.64</v>
      </c>
      <c r="O388" s="1">
        <v>-14.83</v>
      </c>
    </row>
    <row r="389" spans="1:15" ht="15.75" customHeight="1" x14ac:dyDescent="0.25">
      <c r="A389">
        <v>194</v>
      </c>
      <c r="B389" t="s">
        <v>82</v>
      </c>
      <c r="C389" s="2">
        <v>45937.604166666657</v>
      </c>
      <c r="D389" t="s">
        <v>83</v>
      </c>
      <c r="E389">
        <v>123733.6</v>
      </c>
      <c r="F389">
        <v>0.11840299999999999</v>
      </c>
      <c r="G389">
        <v>14650.429440800001</v>
      </c>
      <c r="H389">
        <v>69.099999999999994</v>
      </c>
      <c r="I389" s="1">
        <v>0.47</v>
      </c>
      <c r="J389">
        <v>375.11</v>
      </c>
      <c r="K389" s="1">
        <v>2.56</v>
      </c>
      <c r="L389">
        <v>-30.67</v>
      </c>
      <c r="M389" s="1">
        <v>-0.21</v>
      </c>
      <c r="N389">
        <v>-1482.64</v>
      </c>
      <c r="O389" s="1">
        <v>-14.83</v>
      </c>
    </row>
    <row r="390" spans="1:15" ht="15.75" customHeight="1" x14ac:dyDescent="0.25">
      <c r="A390">
        <v>195</v>
      </c>
      <c r="B390" t="s">
        <v>76</v>
      </c>
      <c r="C390" s="2">
        <v>45939.145833333343</v>
      </c>
      <c r="D390" t="s">
        <v>77</v>
      </c>
      <c r="E390">
        <v>121591.1</v>
      </c>
      <c r="F390">
        <v>0.14987300000000001</v>
      </c>
      <c r="G390">
        <v>18423.378321799999</v>
      </c>
      <c r="H390">
        <v>-214.81</v>
      </c>
      <c r="I390" s="1">
        <v>-1.17</v>
      </c>
      <c r="J390">
        <v>179.07</v>
      </c>
      <c r="K390" s="1">
        <v>0.97</v>
      </c>
      <c r="L390">
        <v>-207.52</v>
      </c>
      <c r="M390" s="1">
        <v>-1.1299999999999999</v>
      </c>
      <c r="N390">
        <v>-1704.82</v>
      </c>
      <c r="O390" s="1">
        <v>-17.05</v>
      </c>
    </row>
    <row r="391" spans="1:15" ht="15.75" customHeight="1" x14ac:dyDescent="0.25">
      <c r="A391">
        <v>195</v>
      </c>
      <c r="B391" t="s">
        <v>78</v>
      </c>
      <c r="C391" s="2">
        <v>45938.479166666657</v>
      </c>
      <c r="D391" t="s">
        <v>79</v>
      </c>
      <c r="E391">
        <v>122926.6</v>
      </c>
      <c r="F391">
        <v>0.14987300000000001</v>
      </c>
      <c r="G391">
        <v>18423.378321799999</v>
      </c>
      <c r="H391">
        <v>-214.81</v>
      </c>
      <c r="I391" s="1">
        <v>-1.17</v>
      </c>
      <c r="J391">
        <v>179.07</v>
      </c>
      <c r="K391" s="1">
        <v>0.97</v>
      </c>
      <c r="L391">
        <v>-207.52</v>
      </c>
      <c r="M391" s="1">
        <v>-1.1299999999999999</v>
      </c>
      <c r="N391">
        <v>-1704.82</v>
      </c>
      <c r="O391" s="1">
        <v>-17.05</v>
      </c>
    </row>
    <row r="392" spans="1:15" ht="15.75" customHeight="1" x14ac:dyDescent="0.25">
      <c r="A392">
        <v>196</v>
      </c>
      <c r="B392" t="s">
        <v>76</v>
      </c>
      <c r="C392" s="2">
        <v>45939.145833333343</v>
      </c>
      <c r="D392" t="s">
        <v>77</v>
      </c>
      <c r="E392">
        <v>121591.1</v>
      </c>
      <c r="F392">
        <v>0.14987300000000001</v>
      </c>
      <c r="G392">
        <v>18423.378321799999</v>
      </c>
      <c r="H392">
        <v>-214.81</v>
      </c>
      <c r="I392" s="1">
        <v>-1.17</v>
      </c>
      <c r="J392">
        <v>179.07</v>
      </c>
      <c r="K392" s="1">
        <v>0.97</v>
      </c>
      <c r="L392">
        <v>-207.52</v>
      </c>
      <c r="M392" s="1">
        <v>-1.1299999999999999</v>
      </c>
      <c r="N392">
        <v>-1912.27</v>
      </c>
      <c r="O392" s="1">
        <v>-19.12</v>
      </c>
    </row>
    <row r="393" spans="1:15" ht="15.75" customHeight="1" x14ac:dyDescent="0.25">
      <c r="A393">
        <v>196</v>
      </c>
      <c r="B393" t="s">
        <v>78</v>
      </c>
      <c r="C393" s="2">
        <v>45938.479166666657</v>
      </c>
      <c r="D393" t="s">
        <v>79</v>
      </c>
      <c r="E393">
        <v>122926.6</v>
      </c>
      <c r="F393">
        <v>0.14987300000000001</v>
      </c>
      <c r="G393">
        <v>18423.378321799999</v>
      </c>
      <c r="H393">
        <v>-214.81</v>
      </c>
      <c r="I393" s="1">
        <v>-1.17</v>
      </c>
      <c r="J393">
        <v>179.07</v>
      </c>
      <c r="K393" s="1">
        <v>0.97</v>
      </c>
      <c r="L393">
        <v>-207.52</v>
      </c>
      <c r="M393" s="1">
        <v>-1.1299999999999999</v>
      </c>
      <c r="N393">
        <v>-1912.27</v>
      </c>
      <c r="O393" s="1">
        <v>-19.12</v>
      </c>
    </row>
    <row r="394" spans="1:15" ht="15.75" customHeight="1" x14ac:dyDescent="0.25">
      <c r="A394">
        <v>197</v>
      </c>
      <c r="B394" t="s">
        <v>80</v>
      </c>
      <c r="C394" s="2">
        <v>45939.541666666657</v>
      </c>
      <c r="D394" t="s">
        <v>77</v>
      </c>
      <c r="E394">
        <v>122834.1</v>
      </c>
      <c r="F394">
        <v>0.12531200000000001</v>
      </c>
      <c r="G394">
        <v>15242.450432</v>
      </c>
      <c r="H394">
        <v>-162.38999999999999</v>
      </c>
      <c r="I394" s="1">
        <v>-1.06</v>
      </c>
      <c r="J394">
        <v>63.39</v>
      </c>
      <c r="K394" s="1">
        <v>0.42</v>
      </c>
      <c r="L394">
        <v>-156.22999999999999</v>
      </c>
      <c r="M394" s="1">
        <v>-1.02</v>
      </c>
      <c r="N394">
        <v>-2080.75</v>
      </c>
      <c r="O394" s="1">
        <v>-20.81</v>
      </c>
    </row>
    <row r="395" spans="1:15" ht="15.75" customHeight="1" x14ac:dyDescent="0.25">
      <c r="A395">
        <v>197</v>
      </c>
      <c r="B395" t="s">
        <v>82</v>
      </c>
      <c r="C395" s="2">
        <v>45939.145833333343</v>
      </c>
      <c r="D395" t="s">
        <v>83</v>
      </c>
      <c r="E395">
        <v>121636</v>
      </c>
      <c r="F395">
        <v>0.12531200000000001</v>
      </c>
      <c r="G395">
        <v>15242.450432</v>
      </c>
      <c r="H395">
        <v>-162.38999999999999</v>
      </c>
      <c r="I395" s="1">
        <v>-1.06</v>
      </c>
      <c r="J395">
        <v>63.39</v>
      </c>
      <c r="K395" s="1">
        <v>0.42</v>
      </c>
      <c r="L395">
        <v>-156.22999999999999</v>
      </c>
      <c r="M395" s="1">
        <v>-1.02</v>
      </c>
      <c r="N395">
        <v>-2080.75</v>
      </c>
      <c r="O395" s="1">
        <v>-20.81</v>
      </c>
    </row>
    <row r="396" spans="1:15" ht="15.75" customHeight="1" x14ac:dyDescent="0.25">
      <c r="A396">
        <v>198</v>
      </c>
      <c r="B396" t="s">
        <v>80</v>
      </c>
      <c r="C396" s="2">
        <v>45939.541666666657</v>
      </c>
      <c r="D396" t="s">
        <v>77</v>
      </c>
      <c r="E396">
        <v>122834.1</v>
      </c>
      <c r="F396">
        <v>0.12531200000000001</v>
      </c>
      <c r="G396">
        <v>15242.450432</v>
      </c>
      <c r="H396">
        <v>-162.38999999999999</v>
      </c>
      <c r="I396" s="1">
        <v>-1.06</v>
      </c>
      <c r="J396">
        <v>63.39</v>
      </c>
      <c r="K396" s="1">
        <v>0.42</v>
      </c>
      <c r="L396">
        <v>-156.22999999999999</v>
      </c>
      <c r="M396" s="1">
        <v>-1.02</v>
      </c>
      <c r="N396">
        <v>-2237.0500000000002</v>
      </c>
      <c r="O396" s="1">
        <v>-22.37</v>
      </c>
    </row>
    <row r="397" spans="1:15" ht="15.75" customHeight="1" x14ac:dyDescent="0.25">
      <c r="A397">
        <v>198</v>
      </c>
      <c r="B397" t="s">
        <v>82</v>
      </c>
      <c r="C397" s="2">
        <v>45939.145833333343</v>
      </c>
      <c r="D397" t="s">
        <v>83</v>
      </c>
      <c r="E397">
        <v>121636</v>
      </c>
      <c r="F397">
        <v>0.12531200000000001</v>
      </c>
      <c r="G397">
        <v>15242.450432</v>
      </c>
      <c r="H397">
        <v>-162.38999999999999</v>
      </c>
      <c r="I397" s="1">
        <v>-1.06</v>
      </c>
      <c r="J397">
        <v>63.39</v>
      </c>
      <c r="K397" s="1">
        <v>0.42</v>
      </c>
      <c r="L397">
        <v>-156.22999999999999</v>
      </c>
      <c r="M397" s="1">
        <v>-1.02</v>
      </c>
      <c r="N397">
        <v>-2237.0500000000002</v>
      </c>
      <c r="O397" s="1">
        <v>-22.37</v>
      </c>
    </row>
    <row r="398" spans="1:15" ht="15.75" customHeight="1" x14ac:dyDescent="0.25">
      <c r="A398">
        <v>199</v>
      </c>
      <c r="B398" t="s">
        <v>76</v>
      </c>
      <c r="C398" s="2">
        <v>45939.625</v>
      </c>
      <c r="D398" t="s">
        <v>77</v>
      </c>
      <c r="E398">
        <v>121756</v>
      </c>
      <c r="F398">
        <v>0.165162</v>
      </c>
      <c r="G398">
        <v>20309.640815999999</v>
      </c>
      <c r="H398">
        <v>-216.34</v>
      </c>
      <c r="I398" s="1">
        <v>-1.06</v>
      </c>
      <c r="J398">
        <v>119.4</v>
      </c>
      <c r="K398" s="1">
        <v>0.59</v>
      </c>
      <c r="L398">
        <v>-208.3</v>
      </c>
      <c r="M398" s="1">
        <v>-1.03</v>
      </c>
      <c r="N398">
        <v>-2461.5100000000002</v>
      </c>
      <c r="O398" s="1">
        <v>-24.62</v>
      </c>
    </row>
    <row r="399" spans="1:15" ht="15.75" customHeight="1" x14ac:dyDescent="0.25">
      <c r="A399">
        <v>199</v>
      </c>
      <c r="B399" t="s">
        <v>78</v>
      </c>
      <c r="C399" s="2">
        <v>45939.541666666657</v>
      </c>
      <c r="D399" t="s">
        <v>79</v>
      </c>
      <c r="E399">
        <v>122968</v>
      </c>
      <c r="F399">
        <v>0.165162</v>
      </c>
      <c r="G399">
        <v>20309.640815999999</v>
      </c>
      <c r="H399">
        <v>-216.34</v>
      </c>
      <c r="I399" s="1">
        <v>-1.06</v>
      </c>
      <c r="J399">
        <v>119.4</v>
      </c>
      <c r="K399" s="1">
        <v>0.59</v>
      </c>
      <c r="L399">
        <v>-208.3</v>
      </c>
      <c r="M399" s="1">
        <v>-1.03</v>
      </c>
      <c r="N399">
        <v>-2461.5100000000002</v>
      </c>
      <c r="O399" s="1">
        <v>-24.62</v>
      </c>
    </row>
    <row r="400" spans="1:15" ht="15.75" customHeight="1" x14ac:dyDescent="0.25">
      <c r="A400">
        <v>200</v>
      </c>
      <c r="B400" t="s">
        <v>76</v>
      </c>
      <c r="C400" s="2">
        <v>45939.625</v>
      </c>
      <c r="D400" t="s">
        <v>77</v>
      </c>
      <c r="E400">
        <v>121756</v>
      </c>
      <c r="F400">
        <v>0.165163</v>
      </c>
      <c r="G400">
        <v>20309.763783999999</v>
      </c>
      <c r="H400">
        <v>-216.35</v>
      </c>
      <c r="I400" s="1">
        <v>-1.06</v>
      </c>
      <c r="J400">
        <v>119.4</v>
      </c>
      <c r="K400" s="1">
        <v>0.59</v>
      </c>
      <c r="L400">
        <v>-208.3</v>
      </c>
      <c r="M400" s="1">
        <v>-1.03</v>
      </c>
      <c r="N400">
        <v>-2669.73</v>
      </c>
      <c r="O400" s="1">
        <v>-26.7</v>
      </c>
    </row>
    <row r="401" spans="1:15" ht="15.75" customHeight="1" x14ac:dyDescent="0.25">
      <c r="A401">
        <v>200</v>
      </c>
      <c r="B401" t="s">
        <v>78</v>
      </c>
      <c r="C401" s="2">
        <v>45939.541666666657</v>
      </c>
      <c r="D401" t="s">
        <v>79</v>
      </c>
      <c r="E401">
        <v>122968</v>
      </c>
      <c r="F401">
        <v>0.165163</v>
      </c>
      <c r="G401">
        <v>20309.763783999999</v>
      </c>
      <c r="H401">
        <v>-216.35</v>
      </c>
      <c r="I401" s="1">
        <v>-1.06</v>
      </c>
      <c r="J401">
        <v>119.4</v>
      </c>
      <c r="K401" s="1">
        <v>0.59</v>
      </c>
      <c r="L401">
        <v>-208.3</v>
      </c>
      <c r="M401" s="1">
        <v>-1.03</v>
      </c>
      <c r="N401">
        <v>-2669.73</v>
      </c>
      <c r="O401" s="1">
        <v>-26.7</v>
      </c>
    </row>
    <row r="402" spans="1:15" ht="15.75" customHeight="1" x14ac:dyDescent="0.25">
      <c r="A402">
        <v>201</v>
      </c>
      <c r="B402" t="s">
        <v>80</v>
      </c>
      <c r="C402" s="2">
        <v>45940.604166666657</v>
      </c>
      <c r="D402" t="s">
        <v>81</v>
      </c>
      <c r="E402">
        <v>122200.9</v>
      </c>
      <c r="F402">
        <v>8.4893999999999997E-2</v>
      </c>
      <c r="G402">
        <v>10389.0815274</v>
      </c>
      <c r="H402">
        <v>6.65</v>
      </c>
      <c r="I402" s="1">
        <v>0.06</v>
      </c>
      <c r="J402">
        <v>233.91</v>
      </c>
      <c r="K402" s="1">
        <v>2.25</v>
      </c>
      <c r="L402">
        <v>-10.98</v>
      </c>
      <c r="M402" s="1">
        <v>-0.11</v>
      </c>
      <c r="N402">
        <v>-2667.24</v>
      </c>
      <c r="O402" s="1">
        <v>-26.67</v>
      </c>
    </row>
    <row r="403" spans="1:15" ht="15.75" customHeight="1" x14ac:dyDescent="0.25">
      <c r="A403">
        <v>201</v>
      </c>
      <c r="B403" t="s">
        <v>82</v>
      </c>
      <c r="C403" s="2">
        <v>45939.625</v>
      </c>
      <c r="D403" t="s">
        <v>83</v>
      </c>
      <c r="E403">
        <v>122377.1</v>
      </c>
      <c r="F403">
        <v>8.4893999999999997E-2</v>
      </c>
      <c r="G403">
        <v>10389.0815274</v>
      </c>
      <c r="H403">
        <v>6.65</v>
      </c>
      <c r="I403" s="1">
        <v>0.06</v>
      </c>
      <c r="J403">
        <v>233.91</v>
      </c>
      <c r="K403" s="1">
        <v>2.25</v>
      </c>
      <c r="L403">
        <v>-10.98</v>
      </c>
      <c r="M403" s="1">
        <v>-0.11</v>
      </c>
      <c r="N403">
        <v>-2667.24</v>
      </c>
      <c r="O403" s="1">
        <v>-26.67</v>
      </c>
    </row>
    <row r="404" spans="1:15" ht="15.75" customHeight="1" x14ac:dyDescent="0.25">
      <c r="A404">
        <v>202</v>
      </c>
      <c r="B404" t="s">
        <v>80</v>
      </c>
      <c r="C404" s="2">
        <v>45940.604166666657</v>
      </c>
      <c r="D404" t="s">
        <v>81</v>
      </c>
      <c r="E404">
        <v>122200.9</v>
      </c>
      <c r="F404">
        <v>8.4894999999999998E-2</v>
      </c>
      <c r="G404">
        <v>10389.2039045</v>
      </c>
      <c r="H404">
        <v>6.65</v>
      </c>
      <c r="I404" s="1">
        <v>0.06</v>
      </c>
      <c r="J404">
        <v>233.92</v>
      </c>
      <c r="K404" s="1">
        <v>2.25</v>
      </c>
      <c r="L404">
        <v>-10.98</v>
      </c>
      <c r="M404" s="1">
        <v>-0.11</v>
      </c>
      <c r="N404">
        <v>-2656.43</v>
      </c>
      <c r="O404" s="1">
        <v>-26.56</v>
      </c>
    </row>
    <row r="405" spans="1:15" ht="15.75" customHeight="1" x14ac:dyDescent="0.25">
      <c r="A405">
        <v>202</v>
      </c>
      <c r="B405" t="s">
        <v>82</v>
      </c>
      <c r="C405" s="2">
        <v>45939.625</v>
      </c>
      <c r="D405" t="s">
        <v>83</v>
      </c>
      <c r="E405">
        <v>122377.1</v>
      </c>
      <c r="F405">
        <v>8.4894999999999998E-2</v>
      </c>
      <c r="G405">
        <v>10389.2039045</v>
      </c>
      <c r="H405">
        <v>6.65</v>
      </c>
      <c r="I405" s="1">
        <v>0.06</v>
      </c>
      <c r="J405">
        <v>233.92</v>
      </c>
      <c r="K405" s="1">
        <v>2.25</v>
      </c>
      <c r="L405">
        <v>-10.98</v>
      </c>
      <c r="M405" s="1">
        <v>-0.11</v>
      </c>
      <c r="N405">
        <v>-2656.43</v>
      </c>
      <c r="O405" s="1">
        <v>-26.56</v>
      </c>
    </row>
    <row r="406" spans="1:15" ht="15.75" customHeight="1" x14ac:dyDescent="0.25">
      <c r="A406">
        <v>203</v>
      </c>
      <c r="B406" t="s">
        <v>76</v>
      </c>
      <c r="C406" s="2">
        <v>45940.635416666657</v>
      </c>
      <c r="D406" t="s">
        <v>77</v>
      </c>
      <c r="E406">
        <v>121113.7</v>
      </c>
      <c r="F406">
        <v>0.186417</v>
      </c>
      <c r="G406">
        <v>22777.8458292</v>
      </c>
      <c r="H406">
        <v>-218.34</v>
      </c>
      <c r="I406" s="1">
        <v>-0.96</v>
      </c>
      <c r="J406">
        <v>3.16</v>
      </c>
      <c r="K406" s="1">
        <v>0.01</v>
      </c>
      <c r="L406">
        <v>-209.3</v>
      </c>
      <c r="M406" s="1">
        <v>-0.92</v>
      </c>
      <c r="N406">
        <v>-2883.88</v>
      </c>
      <c r="O406" s="1">
        <v>-28.84</v>
      </c>
    </row>
    <row r="407" spans="1:15" ht="15.75" customHeight="1" x14ac:dyDescent="0.25">
      <c r="A407">
        <v>203</v>
      </c>
      <c r="B407" t="s">
        <v>78</v>
      </c>
      <c r="C407" s="2">
        <v>45940.604166666657</v>
      </c>
      <c r="D407" t="s">
        <v>79</v>
      </c>
      <c r="E407">
        <v>122187.6</v>
      </c>
      <c r="F407">
        <v>0.186417</v>
      </c>
      <c r="G407">
        <v>22777.8458292</v>
      </c>
      <c r="H407">
        <v>-218.34</v>
      </c>
      <c r="I407" s="1">
        <v>-0.96</v>
      </c>
      <c r="J407">
        <v>3.16</v>
      </c>
      <c r="K407" s="1">
        <v>0.01</v>
      </c>
      <c r="L407">
        <v>-209.3</v>
      </c>
      <c r="M407" s="1">
        <v>-0.92</v>
      </c>
      <c r="N407">
        <v>-2883.88</v>
      </c>
      <c r="O407" s="1">
        <v>-28.84</v>
      </c>
    </row>
    <row r="408" spans="1:15" ht="15.75" customHeight="1" x14ac:dyDescent="0.25">
      <c r="A408">
        <v>204</v>
      </c>
      <c r="B408" t="s">
        <v>76</v>
      </c>
      <c r="C408" s="2">
        <v>45940.635416666657</v>
      </c>
      <c r="D408" t="s">
        <v>77</v>
      </c>
      <c r="E408">
        <v>121113.7</v>
      </c>
      <c r="F408">
        <v>0.186418</v>
      </c>
      <c r="G408">
        <v>22777.968016800001</v>
      </c>
      <c r="H408">
        <v>-218.34</v>
      </c>
      <c r="I408" s="1">
        <v>-0.96</v>
      </c>
      <c r="J408">
        <v>3.16</v>
      </c>
      <c r="K408" s="1">
        <v>0.01</v>
      </c>
      <c r="L408">
        <v>-209.31</v>
      </c>
      <c r="M408" s="1">
        <v>-0.92</v>
      </c>
      <c r="N408">
        <v>-3093.1</v>
      </c>
      <c r="O408" s="1">
        <v>-30.93</v>
      </c>
    </row>
    <row r="409" spans="1:15" ht="15.75" customHeight="1" x14ac:dyDescent="0.25">
      <c r="A409">
        <v>204</v>
      </c>
      <c r="B409" t="s">
        <v>78</v>
      </c>
      <c r="C409" s="2">
        <v>45940.604166666657</v>
      </c>
      <c r="D409" t="s">
        <v>79</v>
      </c>
      <c r="E409">
        <v>122187.6</v>
      </c>
      <c r="F409">
        <v>0.186418</v>
      </c>
      <c r="G409">
        <v>22777.968016800001</v>
      </c>
      <c r="H409">
        <v>-218.34</v>
      </c>
      <c r="I409" s="1">
        <v>-0.96</v>
      </c>
      <c r="J409">
        <v>3.16</v>
      </c>
      <c r="K409" s="1">
        <v>0.01</v>
      </c>
      <c r="L409">
        <v>-209.31</v>
      </c>
      <c r="M409" s="1">
        <v>-0.92</v>
      </c>
      <c r="N409">
        <v>-3093.1</v>
      </c>
      <c r="O409" s="1">
        <v>-30.93</v>
      </c>
    </row>
    <row r="410" spans="1:15" ht="15.75" customHeight="1" x14ac:dyDescent="0.25">
      <c r="A410">
        <v>205</v>
      </c>
      <c r="B410" t="s">
        <v>76</v>
      </c>
      <c r="C410" s="2">
        <v>45940.677083333343</v>
      </c>
      <c r="D410" t="s">
        <v>77</v>
      </c>
      <c r="E410">
        <v>119757.1</v>
      </c>
      <c r="F410">
        <v>0.142096</v>
      </c>
      <c r="G410">
        <v>17217.147097599998</v>
      </c>
      <c r="H410">
        <v>-213.84</v>
      </c>
      <c r="I410" s="1">
        <v>-1.24</v>
      </c>
      <c r="J410">
        <v>26.42</v>
      </c>
      <c r="K410" s="1">
        <v>0.15</v>
      </c>
      <c r="L410">
        <v>-207.03</v>
      </c>
      <c r="M410" s="1">
        <v>-1.2</v>
      </c>
      <c r="N410">
        <v>-3313.82</v>
      </c>
      <c r="O410" s="1">
        <v>-33.14</v>
      </c>
    </row>
    <row r="411" spans="1:15" ht="15.75" customHeight="1" x14ac:dyDescent="0.25">
      <c r="A411">
        <v>205</v>
      </c>
      <c r="B411" t="s">
        <v>78</v>
      </c>
      <c r="C411" s="2">
        <v>45940.635416666657</v>
      </c>
      <c r="D411" t="s">
        <v>79</v>
      </c>
      <c r="E411">
        <v>121165.6</v>
      </c>
      <c r="F411">
        <v>0.142096</v>
      </c>
      <c r="G411">
        <v>17217.147097599998</v>
      </c>
      <c r="H411">
        <v>-213.84</v>
      </c>
      <c r="I411" s="1">
        <v>-1.24</v>
      </c>
      <c r="J411">
        <v>26.42</v>
      </c>
      <c r="K411" s="1">
        <v>0.15</v>
      </c>
      <c r="L411">
        <v>-207.03</v>
      </c>
      <c r="M411" s="1">
        <v>-1.2</v>
      </c>
      <c r="N411">
        <v>-3313.82</v>
      </c>
      <c r="O411" s="1">
        <v>-33.14</v>
      </c>
    </row>
    <row r="412" spans="1:15" ht="15.75" customHeight="1" x14ac:dyDescent="0.25">
      <c r="A412">
        <v>206</v>
      </c>
      <c r="B412" t="s">
        <v>76</v>
      </c>
      <c r="C412" s="2">
        <v>45940.677083333343</v>
      </c>
      <c r="D412" t="s">
        <v>77</v>
      </c>
      <c r="E412">
        <v>119757.1</v>
      </c>
      <c r="F412">
        <v>0.142096</v>
      </c>
      <c r="G412">
        <v>17217.147097599998</v>
      </c>
      <c r="H412">
        <v>-213.84</v>
      </c>
      <c r="I412" s="1">
        <v>-1.24</v>
      </c>
      <c r="J412">
        <v>26.42</v>
      </c>
      <c r="K412" s="1">
        <v>0.15</v>
      </c>
      <c r="L412">
        <v>-207.03</v>
      </c>
      <c r="M412" s="1">
        <v>-1.2</v>
      </c>
      <c r="N412">
        <v>-3520.77</v>
      </c>
      <c r="O412" s="1">
        <v>-35.21</v>
      </c>
    </row>
    <row r="413" spans="1:15" ht="15.75" customHeight="1" x14ac:dyDescent="0.25">
      <c r="A413">
        <v>206</v>
      </c>
      <c r="B413" t="s">
        <v>78</v>
      </c>
      <c r="C413" s="2">
        <v>45940.635416666657</v>
      </c>
      <c r="D413" t="s">
        <v>79</v>
      </c>
      <c r="E413">
        <v>121165.6</v>
      </c>
      <c r="F413">
        <v>0.142096</v>
      </c>
      <c r="G413">
        <v>17217.147097599998</v>
      </c>
      <c r="H413">
        <v>-213.84</v>
      </c>
      <c r="I413" s="1">
        <v>-1.24</v>
      </c>
      <c r="J413">
        <v>26.42</v>
      </c>
      <c r="K413" s="1">
        <v>0.15</v>
      </c>
      <c r="L413">
        <v>-207.03</v>
      </c>
      <c r="M413" s="1">
        <v>-1.2</v>
      </c>
      <c r="N413">
        <v>-3520.77</v>
      </c>
      <c r="O413" s="1">
        <v>-35.21</v>
      </c>
    </row>
    <row r="414" spans="1:15" ht="15.75" customHeight="1" x14ac:dyDescent="0.25">
      <c r="A414">
        <v>207</v>
      </c>
      <c r="B414" t="s">
        <v>80</v>
      </c>
      <c r="C414" s="2">
        <v>45940.90625</v>
      </c>
      <c r="D414" t="s">
        <v>84</v>
      </c>
      <c r="E414">
        <v>113476.2</v>
      </c>
      <c r="F414">
        <v>7.8784999999999994E-2</v>
      </c>
      <c r="G414">
        <v>9390.1871874999997</v>
      </c>
      <c r="H414">
        <v>442.63</v>
      </c>
      <c r="I414" s="1">
        <v>4.71</v>
      </c>
      <c r="J414">
        <v>446.21</v>
      </c>
      <c r="K414" s="1">
        <v>4.75</v>
      </c>
      <c r="L414">
        <v>-33.17</v>
      </c>
      <c r="M414" s="1">
        <v>-0.35</v>
      </c>
      <c r="N414">
        <v>-3081.9</v>
      </c>
      <c r="O414" s="1">
        <v>-30.82</v>
      </c>
    </row>
    <row r="415" spans="1:15" ht="15.75" customHeight="1" x14ac:dyDescent="0.25">
      <c r="A415">
        <v>207</v>
      </c>
      <c r="B415" t="s">
        <v>82</v>
      </c>
      <c r="C415" s="2">
        <v>45940.677083333343</v>
      </c>
      <c r="D415" t="s">
        <v>83</v>
      </c>
      <c r="E415">
        <v>119187.5</v>
      </c>
      <c r="F415">
        <v>7.8784999999999994E-2</v>
      </c>
      <c r="G415">
        <v>9390.1871874999997</v>
      </c>
      <c r="H415">
        <v>442.63</v>
      </c>
      <c r="I415" s="1">
        <v>4.71</v>
      </c>
      <c r="J415">
        <v>446.21</v>
      </c>
      <c r="K415" s="1">
        <v>4.75</v>
      </c>
      <c r="L415">
        <v>-33.17</v>
      </c>
      <c r="M415" s="1">
        <v>-0.35</v>
      </c>
      <c r="N415">
        <v>-3081.9</v>
      </c>
      <c r="O415" s="1">
        <v>-30.82</v>
      </c>
    </row>
    <row r="416" spans="1:15" ht="15.75" customHeight="1" x14ac:dyDescent="0.25">
      <c r="A416">
        <v>208</v>
      </c>
      <c r="B416" t="s">
        <v>80</v>
      </c>
      <c r="C416" s="2">
        <v>45940.90625</v>
      </c>
      <c r="D416" t="s">
        <v>85</v>
      </c>
      <c r="E416">
        <v>114198.5</v>
      </c>
      <c r="F416">
        <v>7.8785999999999995E-2</v>
      </c>
      <c r="G416">
        <v>9390.3063750000001</v>
      </c>
      <c r="H416">
        <v>385.71</v>
      </c>
      <c r="I416" s="1">
        <v>4.1100000000000003</v>
      </c>
      <c r="J416">
        <v>500.55</v>
      </c>
      <c r="K416" s="1">
        <v>5.33</v>
      </c>
      <c r="L416">
        <v>-33.17</v>
      </c>
      <c r="M416" s="1">
        <v>-0.35</v>
      </c>
      <c r="N416">
        <v>-2692.43</v>
      </c>
      <c r="O416" s="1">
        <v>-26.92</v>
      </c>
    </row>
    <row r="417" spans="1:15" ht="15.75" customHeight="1" x14ac:dyDescent="0.25">
      <c r="A417">
        <v>208</v>
      </c>
      <c r="B417" t="s">
        <v>82</v>
      </c>
      <c r="C417" s="2">
        <v>45940.677083333343</v>
      </c>
      <c r="D417" t="s">
        <v>83</v>
      </c>
      <c r="E417">
        <v>119187.5</v>
      </c>
      <c r="F417">
        <v>7.8785999999999995E-2</v>
      </c>
      <c r="G417">
        <v>9390.3063750000001</v>
      </c>
      <c r="H417">
        <v>385.71</v>
      </c>
      <c r="I417" s="1">
        <v>4.1100000000000003</v>
      </c>
      <c r="J417">
        <v>500.55</v>
      </c>
      <c r="K417" s="1">
        <v>5.33</v>
      </c>
      <c r="L417">
        <v>-33.17</v>
      </c>
      <c r="M417" s="1">
        <v>-0.35</v>
      </c>
      <c r="N417">
        <v>-2692.43</v>
      </c>
      <c r="O417" s="1">
        <v>-26.92</v>
      </c>
    </row>
    <row r="418" spans="1:15" ht="15.75" customHeight="1" x14ac:dyDescent="0.25">
      <c r="A418">
        <v>209</v>
      </c>
      <c r="B418" t="s">
        <v>80</v>
      </c>
      <c r="C418" s="2">
        <v>45940.9375</v>
      </c>
      <c r="D418" t="s">
        <v>81</v>
      </c>
      <c r="E418">
        <v>111664</v>
      </c>
      <c r="F418">
        <v>3.1673E-2</v>
      </c>
      <c r="G418">
        <v>3551.7183682999998</v>
      </c>
      <c r="H418">
        <v>12.15</v>
      </c>
      <c r="I418" s="1">
        <v>0.34</v>
      </c>
      <c r="J418">
        <v>334.97</v>
      </c>
      <c r="K418" s="1">
        <v>9.43</v>
      </c>
      <c r="L418">
        <v>-14.17</v>
      </c>
      <c r="M418" s="1">
        <v>-0.4</v>
      </c>
      <c r="N418">
        <v>-2681.7</v>
      </c>
      <c r="O418" s="1">
        <v>-26.82</v>
      </c>
    </row>
    <row r="419" spans="1:15" ht="15.75" customHeight="1" x14ac:dyDescent="0.25">
      <c r="A419">
        <v>209</v>
      </c>
      <c r="B419" t="s">
        <v>82</v>
      </c>
      <c r="C419" s="2">
        <v>45940.916666666657</v>
      </c>
      <c r="D419" t="s">
        <v>83</v>
      </c>
      <c r="E419">
        <v>112137.1</v>
      </c>
      <c r="F419">
        <v>3.1673E-2</v>
      </c>
      <c r="G419">
        <v>3551.7183682999998</v>
      </c>
      <c r="H419">
        <v>12.15</v>
      </c>
      <c r="I419" s="1">
        <v>0.34</v>
      </c>
      <c r="J419">
        <v>334.97</v>
      </c>
      <c r="K419" s="1">
        <v>9.43</v>
      </c>
      <c r="L419">
        <v>-14.17</v>
      </c>
      <c r="M419" s="1">
        <v>-0.4</v>
      </c>
      <c r="N419">
        <v>-2681.7</v>
      </c>
      <c r="O419" s="1">
        <v>-26.82</v>
      </c>
    </row>
    <row r="420" spans="1:15" ht="15.75" customHeight="1" x14ac:dyDescent="0.25">
      <c r="A420">
        <v>210</v>
      </c>
      <c r="B420" t="s">
        <v>80</v>
      </c>
      <c r="C420" s="2">
        <v>45940.9375</v>
      </c>
      <c r="D420" t="s">
        <v>81</v>
      </c>
      <c r="E420">
        <v>111664</v>
      </c>
      <c r="F420">
        <v>3.1674000000000001E-2</v>
      </c>
      <c r="G420">
        <v>3551.8305054000002</v>
      </c>
      <c r="H420">
        <v>12.15</v>
      </c>
      <c r="I420" s="1">
        <v>0.34</v>
      </c>
      <c r="J420">
        <v>334.98</v>
      </c>
      <c r="K420" s="1">
        <v>9.43</v>
      </c>
      <c r="L420">
        <v>-14.17</v>
      </c>
      <c r="M420" s="1">
        <v>-0.4</v>
      </c>
      <c r="N420">
        <v>-2668.13</v>
      </c>
      <c r="O420" s="1">
        <v>-26.68</v>
      </c>
    </row>
    <row r="421" spans="1:15" ht="15.75" customHeight="1" x14ac:dyDescent="0.25">
      <c r="A421">
        <v>210</v>
      </c>
      <c r="B421" t="s">
        <v>82</v>
      </c>
      <c r="C421" s="2">
        <v>45940.916666666657</v>
      </c>
      <c r="D421" t="s">
        <v>83</v>
      </c>
      <c r="E421">
        <v>112137.1</v>
      </c>
      <c r="F421">
        <v>3.1674000000000001E-2</v>
      </c>
      <c r="G421">
        <v>3551.8305054000002</v>
      </c>
      <c r="H421">
        <v>12.15</v>
      </c>
      <c r="I421" s="1">
        <v>0.34</v>
      </c>
      <c r="J421">
        <v>334.98</v>
      </c>
      <c r="K421" s="1">
        <v>9.43</v>
      </c>
      <c r="L421">
        <v>-14.17</v>
      </c>
      <c r="M421" s="1">
        <v>-0.4</v>
      </c>
      <c r="N421">
        <v>-2668.13</v>
      </c>
      <c r="O421" s="1">
        <v>-26.68</v>
      </c>
    </row>
    <row r="422" spans="1:15" ht="15.75" customHeight="1" x14ac:dyDescent="0.25">
      <c r="A422">
        <v>211</v>
      </c>
      <c r="B422" t="s">
        <v>80</v>
      </c>
      <c r="C422" s="2">
        <v>45981.708333333343</v>
      </c>
      <c r="D422" t="s">
        <v>84</v>
      </c>
      <c r="E422">
        <v>87031.7</v>
      </c>
      <c r="F422">
        <v>1.8585999999999998E-2</v>
      </c>
      <c r="G422">
        <v>2067.5549636000001</v>
      </c>
      <c r="H422">
        <v>448.51</v>
      </c>
      <c r="I422" s="1">
        <v>21.68</v>
      </c>
      <c r="J422">
        <v>449.16</v>
      </c>
      <c r="K422" s="1">
        <v>21.72</v>
      </c>
      <c r="L422">
        <v>-96.31</v>
      </c>
      <c r="M422" s="1">
        <v>-4.66</v>
      </c>
      <c r="N422">
        <v>-2220.4499999999998</v>
      </c>
      <c r="O422" s="1">
        <v>-22.2</v>
      </c>
    </row>
    <row r="423" spans="1:15" ht="15.75" customHeight="1" x14ac:dyDescent="0.25">
      <c r="A423">
        <v>211</v>
      </c>
      <c r="B423" t="s">
        <v>82</v>
      </c>
      <c r="C423" s="2">
        <v>45940.9375</v>
      </c>
      <c r="D423" t="s">
        <v>83</v>
      </c>
      <c r="E423">
        <v>111242.6</v>
      </c>
      <c r="F423">
        <v>1.8585999999999998E-2</v>
      </c>
      <c r="G423">
        <v>2067.5549636000001</v>
      </c>
      <c r="H423">
        <v>448.51</v>
      </c>
      <c r="I423" s="1">
        <v>21.68</v>
      </c>
      <c r="J423">
        <v>449.16</v>
      </c>
      <c r="K423" s="1">
        <v>21.72</v>
      </c>
      <c r="L423">
        <v>-96.31</v>
      </c>
      <c r="M423" s="1">
        <v>-4.66</v>
      </c>
      <c r="N423">
        <v>-2220.4499999999998</v>
      </c>
      <c r="O423" s="1">
        <v>-22.2</v>
      </c>
    </row>
    <row r="424" spans="1:15" ht="15.75" customHeight="1" x14ac:dyDescent="0.25">
      <c r="A424">
        <v>212</v>
      </c>
      <c r="B424" t="s">
        <v>80</v>
      </c>
      <c r="C424" s="2">
        <v>46035.916666666657</v>
      </c>
      <c r="D424" t="s">
        <v>85</v>
      </c>
      <c r="E424">
        <v>96742.399999999994</v>
      </c>
      <c r="F424">
        <v>1.8585999999999998E-2</v>
      </c>
      <c r="G424">
        <v>2067.5549636000001</v>
      </c>
      <c r="H424">
        <v>267.95</v>
      </c>
      <c r="I424" s="1">
        <v>12.95</v>
      </c>
      <c r="J424">
        <v>568.70000000000005</v>
      </c>
      <c r="K424" s="1">
        <v>27.49</v>
      </c>
      <c r="L424">
        <v>-96.31</v>
      </c>
      <c r="M424" s="1">
        <v>-4.66</v>
      </c>
      <c r="N424">
        <v>-1951.67</v>
      </c>
      <c r="O424" s="1">
        <v>-19.52</v>
      </c>
    </row>
    <row r="425" spans="1:15" ht="15.75" customHeight="1" x14ac:dyDescent="0.25">
      <c r="A425">
        <v>212</v>
      </c>
      <c r="B425" t="s">
        <v>82</v>
      </c>
      <c r="C425" s="2">
        <v>45940.9375</v>
      </c>
      <c r="D425" t="s">
        <v>83</v>
      </c>
      <c r="E425">
        <v>111242.6</v>
      </c>
      <c r="F425">
        <v>1.8585999999999998E-2</v>
      </c>
      <c r="G425">
        <v>2067.5549636000001</v>
      </c>
      <c r="H425">
        <v>267.95</v>
      </c>
      <c r="I425" s="1">
        <v>12.95</v>
      </c>
      <c r="J425">
        <v>568.70000000000005</v>
      </c>
      <c r="K425" s="1">
        <v>27.49</v>
      </c>
      <c r="L425">
        <v>-96.31</v>
      </c>
      <c r="M425" s="1">
        <v>-4.66</v>
      </c>
      <c r="N425">
        <v>-1951.67</v>
      </c>
      <c r="O425" s="1">
        <v>-19.52</v>
      </c>
    </row>
    <row r="426" spans="1:15" ht="15.75" customHeight="1" x14ac:dyDescent="0.25">
      <c r="A426">
        <v>213</v>
      </c>
      <c r="B426" t="s">
        <v>76</v>
      </c>
      <c r="C426" s="2">
        <v>46037.145833333343</v>
      </c>
      <c r="D426" t="s">
        <v>81</v>
      </c>
      <c r="E426">
        <v>95763</v>
      </c>
      <c r="F426">
        <v>0.10693999999999999</v>
      </c>
      <c r="G426">
        <v>10220.95091</v>
      </c>
      <c r="H426">
        <v>11.76</v>
      </c>
      <c r="I426" s="1">
        <v>0.12</v>
      </c>
      <c r="J426">
        <v>247.82</v>
      </c>
      <c r="K426" s="1">
        <v>2.42</v>
      </c>
      <c r="L426">
        <v>-128.47</v>
      </c>
      <c r="M426" s="1">
        <v>-1.26</v>
      </c>
      <c r="N426">
        <v>-1944</v>
      </c>
      <c r="O426" s="1">
        <v>-19.440000000000001</v>
      </c>
    </row>
    <row r="427" spans="1:15" ht="15.75" customHeight="1" x14ac:dyDescent="0.25">
      <c r="A427">
        <v>213</v>
      </c>
      <c r="B427" t="s">
        <v>78</v>
      </c>
      <c r="C427" s="2">
        <v>46035.916666666657</v>
      </c>
      <c r="D427" t="s">
        <v>79</v>
      </c>
      <c r="E427">
        <v>95576.5</v>
      </c>
      <c r="F427">
        <v>0.10693999999999999</v>
      </c>
      <c r="G427">
        <v>10220.95091</v>
      </c>
      <c r="H427">
        <v>11.76</v>
      </c>
      <c r="I427" s="1">
        <v>0.12</v>
      </c>
      <c r="J427">
        <v>247.82</v>
      </c>
      <c r="K427" s="1">
        <v>2.42</v>
      </c>
      <c r="L427">
        <v>-128.47</v>
      </c>
      <c r="M427" s="1">
        <v>-1.26</v>
      </c>
      <c r="N427">
        <v>-1944</v>
      </c>
      <c r="O427" s="1">
        <v>-19.440000000000001</v>
      </c>
    </row>
    <row r="428" spans="1:15" ht="15.75" customHeight="1" x14ac:dyDescent="0.25">
      <c r="A428">
        <v>214</v>
      </c>
      <c r="B428" t="s">
        <v>76</v>
      </c>
      <c r="C428" s="2">
        <v>46037.145833333343</v>
      </c>
      <c r="D428" t="s">
        <v>81</v>
      </c>
      <c r="E428">
        <v>95763</v>
      </c>
      <c r="F428">
        <v>0.10694099999999999</v>
      </c>
      <c r="G428">
        <v>10221.046486499999</v>
      </c>
      <c r="H428">
        <v>11.76</v>
      </c>
      <c r="I428" s="1">
        <v>0.12</v>
      </c>
      <c r="J428">
        <v>247.82</v>
      </c>
      <c r="K428" s="1">
        <v>2.42</v>
      </c>
      <c r="L428">
        <v>-128.47</v>
      </c>
      <c r="M428" s="1">
        <v>-1.26</v>
      </c>
      <c r="N428">
        <v>-1928.15</v>
      </c>
      <c r="O428" s="1">
        <v>-19.28</v>
      </c>
    </row>
    <row r="429" spans="1:15" ht="15.75" customHeight="1" x14ac:dyDescent="0.25">
      <c r="A429">
        <v>214</v>
      </c>
      <c r="B429" t="s">
        <v>78</v>
      </c>
      <c r="C429" s="2">
        <v>46035.916666666657</v>
      </c>
      <c r="D429" t="s">
        <v>79</v>
      </c>
      <c r="E429">
        <v>95576.5</v>
      </c>
      <c r="F429">
        <v>0.10694099999999999</v>
      </c>
      <c r="G429">
        <v>10221.046486499999</v>
      </c>
      <c r="H429">
        <v>11.76</v>
      </c>
      <c r="I429" s="1">
        <v>0.12</v>
      </c>
      <c r="J429">
        <v>247.82</v>
      </c>
      <c r="K429" s="1">
        <v>2.42</v>
      </c>
      <c r="L429">
        <v>-128.47</v>
      </c>
      <c r="M429" s="1">
        <v>-1.26</v>
      </c>
      <c r="N429">
        <v>-1928.15</v>
      </c>
      <c r="O429" s="1">
        <v>-19.28</v>
      </c>
    </row>
    <row r="430" spans="1:15" ht="15.75" customHeight="1" x14ac:dyDescent="0.25">
      <c r="A430">
        <v>215</v>
      </c>
      <c r="B430" t="s">
        <v>76</v>
      </c>
      <c r="C430" s="2">
        <v>46038.645833333343</v>
      </c>
      <c r="D430" t="s">
        <v>77</v>
      </c>
      <c r="E430">
        <v>94568.4</v>
      </c>
      <c r="F430">
        <v>0.154421</v>
      </c>
      <c r="G430">
        <v>14803.5073966</v>
      </c>
      <c r="H430">
        <v>-211.92</v>
      </c>
      <c r="I430" s="1">
        <v>-1.43</v>
      </c>
      <c r="J430">
        <v>193.34</v>
      </c>
      <c r="K430" s="1">
        <v>1.31</v>
      </c>
      <c r="L430">
        <v>-206.08</v>
      </c>
      <c r="M430" s="1">
        <v>-1.39</v>
      </c>
      <c r="N430">
        <v>-2145.9899999999998</v>
      </c>
      <c r="O430" s="1">
        <v>-21.46</v>
      </c>
    </row>
    <row r="431" spans="1:15" ht="15.75" customHeight="1" x14ac:dyDescent="0.25">
      <c r="A431">
        <v>215</v>
      </c>
      <c r="B431" t="s">
        <v>78</v>
      </c>
      <c r="C431" s="2">
        <v>46037.145833333343</v>
      </c>
      <c r="D431" t="s">
        <v>79</v>
      </c>
      <c r="E431">
        <v>95864.6</v>
      </c>
      <c r="F431">
        <v>0.154421</v>
      </c>
      <c r="G431">
        <v>14803.5073966</v>
      </c>
      <c r="H431">
        <v>-211.92</v>
      </c>
      <c r="I431" s="1">
        <v>-1.43</v>
      </c>
      <c r="J431">
        <v>193.34</v>
      </c>
      <c r="K431" s="1">
        <v>1.31</v>
      </c>
      <c r="L431">
        <v>-206.08</v>
      </c>
      <c r="M431" s="1">
        <v>-1.39</v>
      </c>
      <c r="N431">
        <v>-2145.9899999999998</v>
      </c>
      <c r="O431" s="1">
        <v>-21.46</v>
      </c>
    </row>
    <row r="432" spans="1:15" ht="15.75" customHeight="1" x14ac:dyDescent="0.25">
      <c r="A432">
        <v>216</v>
      </c>
      <c r="B432" t="s">
        <v>76</v>
      </c>
      <c r="C432" s="2">
        <v>46038.645833333343</v>
      </c>
      <c r="D432" t="s">
        <v>77</v>
      </c>
      <c r="E432">
        <v>94568.4</v>
      </c>
      <c r="F432">
        <v>0.154421</v>
      </c>
      <c r="G432">
        <v>14803.5073966</v>
      </c>
      <c r="H432">
        <v>-211.92</v>
      </c>
      <c r="I432" s="1">
        <v>-1.43</v>
      </c>
      <c r="J432">
        <v>193.34</v>
      </c>
      <c r="K432" s="1">
        <v>1.31</v>
      </c>
      <c r="L432">
        <v>-206.08</v>
      </c>
      <c r="M432" s="1">
        <v>-1.39</v>
      </c>
      <c r="N432">
        <v>-2352</v>
      </c>
      <c r="O432" s="1">
        <v>-23.52</v>
      </c>
    </row>
    <row r="433" spans="1:15" ht="15.75" customHeight="1" x14ac:dyDescent="0.25">
      <c r="A433">
        <v>216</v>
      </c>
      <c r="B433" t="s">
        <v>78</v>
      </c>
      <c r="C433" s="2">
        <v>46037.145833333343</v>
      </c>
      <c r="D433" t="s">
        <v>79</v>
      </c>
      <c r="E433">
        <v>95864.6</v>
      </c>
      <c r="F433">
        <v>0.154421</v>
      </c>
      <c r="G433">
        <v>14803.5073966</v>
      </c>
      <c r="H433">
        <v>-211.92</v>
      </c>
      <c r="I433" s="1">
        <v>-1.43</v>
      </c>
      <c r="J433">
        <v>193.34</v>
      </c>
      <c r="K433" s="1">
        <v>1.31</v>
      </c>
      <c r="L433">
        <v>-206.08</v>
      </c>
      <c r="M433" s="1">
        <v>-1.39</v>
      </c>
      <c r="N433">
        <v>-2352</v>
      </c>
      <c r="O433" s="1">
        <v>-23.52</v>
      </c>
    </row>
    <row r="434" spans="1:15" ht="15.75" customHeight="1" x14ac:dyDescent="0.25">
      <c r="A434">
        <v>217</v>
      </c>
      <c r="B434" t="s">
        <v>80</v>
      </c>
      <c r="C434" s="2">
        <v>46042.260416666657</v>
      </c>
      <c r="D434" t="s">
        <v>84</v>
      </c>
      <c r="E434">
        <v>90978.7</v>
      </c>
      <c r="F434">
        <v>0.12817899999999999</v>
      </c>
      <c r="G434">
        <v>12111.4927131</v>
      </c>
      <c r="H434">
        <v>440.42</v>
      </c>
      <c r="I434" s="1">
        <v>3.63</v>
      </c>
      <c r="J434">
        <v>445.09</v>
      </c>
      <c r="K434" s="1">
        <v>3.67</v>
      </c>
      <c r="L434">
        <v>-150.07</v>
      </c>
      <c r="M434" s="1">
        <v>-1.24</v>
      </c>
      <c r="N434">
        <v>-1916.42</v>
      </c>
      <c r="O434" s="1">
        <v>-19.16</v>
      </c>
    </row>
    <row r="435" spans="1:15" ht="15.75" customHeight="1" x14ac:dyDescent="0.25">
      <c r="A435">
        <v>217</v>
      </c>
      <c r="B435" t="s">
        <v>82</v>
      </c>
      <c r="C435" s="2">
        <v>46038.645833333343</v>
      </c>
      <c r="D435" t="s">
        <v>83</v>
      </c>
      <c r="E435">
        <v>94488.9</v>
      </c>
      <c r="F435">
        <v>0.12817899999999999</v>
      </c>
      <c r="G435">
        <v>12111.4927131</v>
      </c>
      <c r="H435">
        <v>440.42</v>
      </c>
      <c r="I435" s="1">
        <v>3.63</v>
      </c>
      <c r="J435">
        <v>445.09</v>
      </c>
      <c r="K435" s="1">
        <v>3.67</v>
      </c>
      <c r="L435">
        <v>-150.07</v>
      </c>
      <c r="M435" s="1">
        <v>-1.24</v>
      </c>
      <c r="N435">
        <v>-1916.42</v>
      </c>
      <c r="O435" s="1">
        <v>-19.16</v>
      </c>
    </row>
    <row r="436" spans="1:15" ht="15.75" customHeight="1" x14ac:dyDescent="0.25">
      <c r="A436">
        <v>218</v>
      </c>
      <c r="B436" t="s">
        <v>80</v>
      </c>
      <c r="C436" s="2">
        <v>46042.9375</v>
      </c>
      <c r="D436" t="s">
        <v>86</v>
      </c>
      <c r="E436">
        <v>88053.1</v>
      </c>
      <c r="F436">
        <v>0.12817999999999999</v>
      </c>
      <c r="G436">
        <v>12111.587202000001</v>
      </c>
      <c r="H436">
        <v>815.58</v>
      </c>
      <c r="I436" s="1">
        <v>6.73</v>
      </c>
      <c r="J436">
        <v>820.1</v>
      </c>
      <c r="K436" s="1">
        <v>6.77</v>
      </c>
      <c r="L436">
        <v>-150.07</v>
      </c>
      <c r="M436" s="1">
        <v>-1.24</v>
      </c>
      <c r="N436">
        <v>-1095.99</v>
      </c>
      <c r="O436" s="1">
        <v>-10.96</v>
      </c>
    </row>
    <row r="437" spans="1:15" ht="15.75" customHeight="1" x14ac:dyDescent="0.25">
      <c r="A437">
        <v>218</v>
      </c>
      <c r="B437" t="s">
        <v>82</v>
      </c>
      <c r="C437" s="2">
        <v>46038.645833333343</v>
      </c>
      <c r="D437" t="s">
        <v>83</v>
      </c>
      <c r="E437">
        <v>94488.9</v>
      </c>
      <c r="F437">
        <v>0.12817999999999999</v>
      </c>
      <c r="G437">
        <v>12111.587202000001</v>
      </c>
      <c r="H437">
        <v>815.58</v>
      </c>
      <c r="I437" s="1">
        <v>6.73</v>
      </c>
      <c r="J437">
        <v>820.1</v>
      </c>
      <c r="K437" s="1">
        <v>6.77</v>
      </c>
      <c r="L437">
        <v>-150.07</v>
      </c>
      <c r="M437" s="1">
        <v>-1.24</v>
      </c>
      <c r="N437">
        <v>-1095.99</v>
      </c>
      <c r="O437" s="1">
        <v>-10.96</v>
      </c>
    </row>
    <row r="438" spans="1:15" ht="15.75" customHeight="1" x14ac:dyDescent="0.25">
      <c r="A438">
        <v>219</v>
      </c>
      <c r="B438" t="s">
        <v>80</v>
      </c>
      <c r="C438" s="2">
        <v>46043.625</v>
      </c>
      <c r="D438" t="s">
        <v>77</v>
      </c>
      <c r="E438">
        <v>90098.6</v>
      </c>
      <c r="F438">
        <v>9.6945000000000003E-2</v>
      </c>
      <c r="G438">
        <v>8584.5088335</v>
      </c>
      <c r="H438">
        <v>-157.03</v>
      </c>
      <c r="I438" s="1">
        <v>-1.83</v>
      </c>
      <c r="J438">
        <v>64.459999999999994</v>
      </c>
      <c r="K438" s="1">
        <v>0.75</v>
      </c>
      <c r="L438">
        <v>-153.53</v>
      </c>
      <c r="M438" s="1">
        <v>-1.79</v>
      </c>
      <c r="N438">
        <v>-1256.45</v>
      </c>
      <c r="O438" s="1">
        <v>-12.56</v>
      </c>
    </row>
    <row r="439" spans="1:15" ht="15.75" customHeight="1" x14ac:dyDescent="0.25">
      <c r="A439">
        <v>219</v>
      </c>
      <c r="B439" t="s">
        <v>82</v>
      </c>
      <c r="C439" s="2">
        <v>46042.9375</v>
      </c>
      <c r="D439" t="s">
        <v>83</v>
      </c>
      <c r="E439">
        <v>88550.3</v>
      </c>
      <c r="F439">
        <v>9.6945000000000003E-2</v>
      </c>
      <c r="G439">
        <v>8584.5088335</v>
      </c>
      <c r="H439">
        <v>-157.03</v>
      </c>
      <c r="I439" s="1">
        <v>-1.83</v>
      </c>
      <c r="J439">
        <v>64.459999999999994</v>
      </c>
      <c r="K439" s="1">
        <v>0.75</v>
      </c>
      <c r="L439">
        <v>-153.53</v>
      </c>
      <c r="M439" s="1">
        <v>-1.79</v>
      </c>
      <c r="N439">
        <v>-1256.45</v>
      </c>
      <c r="O439" s="1">
        <v>-12.56</v>
      </c>
    </row>
    <row r="440" spans="1:15" ht="15.75" customHeight="1" x14ac:dyDescent="0.25">
      <c r="A440">
        <v>220</v>
      </c>
      <c r="B440" t="s">
        <v>80</v>
      </c>
      <c r="C440" s="2">
        <v>46043.625</v>
      </c>
      <c r="D440" t="s">
        <v>77</v>
      </c>
      <c r="E440">
        <v>90098.6</v>
      </c>
      <c r="F440">
        <v>9.6946000000000004E-2</v>
      </c>
      <c r="G440">
        <v>8584.5973838000009</v>
      </c>
      <c r="H440">
        <v>-157.03</v>
      </c>
      <c r="I440" s="1">
        <v>-1.83</v>
      </c>
      <c r="J440">
        <v>64.459999999999994</v>
      </c>
      <c r="K440" s="1">
        <v>0.75</v>
      </c>
      <c r="L440">
        <v>-153.54</v>
      </c>
      <c r="M440" s="1">
        <v>-1.79</v>
      </c>
      <c r="N440">
        <v>-1410.05</v>
      </c>
      <c r="O440" s="1">
        <v>-14.1</v>
      </c>
    </row>
    <row r="441" spans="1:15" ht="15.75" customHeight="1" x14ac:dyDescent="0.25">
      <c r="A441">
        <v>220</v>
      </c>
      <c r="B441" t="s">
        <v>82</v>
      </c>
      <c r="C441" s="2">
        <v>46042.9375</v>
      </c>
      <c r="D441" t="s">
        <v>83</v>
      </c>
      <c r="E441">
        <v>88550.3</v>
      </c>
      <c r="F441">
        <v>9.6946000000000004E-2</v>
      </c>
      <c r="G441">
        <v>8584.5973838000009</v>
      </c>
      <c r="H441">
        <v>-157.03</v>
      </c>
      <c r="I441" s="1">
        <v>-1.83</v>
      </c>
      <c r="J441">
        <v>64.459999999999994</v>
      </c>
      <c r="K441" s="1">
        <v>0.75</v>
      </c>
      <c r="L441">
        <v>-153.54</v>
      </c>
      <c r="M441" s="1">
        <v>-1.79</v>
      </c>
      <c r="N441">
        <v>-1410.05</v>
      </c>
      <c r="O441" s="1">
        <v>-14.1</v>
      </c>
    </row>
    <row r="442" spans="1:15" ht="15.75" customHeight="1" x14ac:dyDescent="0.25">
      <c r="A442">
        <v>221</v>
      </c>
      <c r="B442" t="s">
        <v>76</v>
      </c>
      <c r="C442" s="2">
        <v>46043.6875</v>
      </c>
      <c r="D442" t="s">
        <v>77</v>
      </c>
      <c r="E442">
        <v>88728.6</v>
      </c>
      <c r="F442">
        <v>0.12695899999999999</v>
      </c>
      <c r="G442">
        <v>11465.032494999999</v>
      </c>
      <c r="H442">
        <v>-209.23</v>
      </c>
      <c r="I442" s="1">
        <v>-1.82</v>
      </c>
      <c r="J442">
        <v>32.799999999999997</v>
      </c>
      <c r="K442" s="1">
        <v>0.28999999999999998</v>
      </c>
      <c r="L442">
        <v>-204.72</v>
      </c>
      <c r="M442" s="1">
        <v>-1.78</v>
      </c>
      <c r="N442">
        <v>-1623.86</v>
      </c>
      <c r="O442" s="1">
        <v>-16.239999999999998</v>
      </c>
    </row>
    <row r="443" spans="1:15" ht="15.75" customHeight="1" x14ac:dyDescent="0.25">
      <c r="A443">
        <v>221</v>
      </c>
      <c r="B443" t="s">
        <v>78</v>
      </c>
      <c r="C443" s="2">
        <v>46043.625</v>
      </c>
      <c r="D443" t="s">
        <v>79</v>
      </c>
      <c r="E443">
        <v>90305</v>
      </c>
      <c r="F443">
        <v>0.12695899999999999</v>
      </c>
      <c r="G443">
        <v>11465.032494999999</v>
      </c>
      <c r="H443">
        <v>-209.23</v>
      </c>
      <c r="I443" s="1">
        <v>-1.82</v>
      </c>
      <c r="J443">
        <v>32.799999999999997</v>
      </c>
      <c r="K443" s="1">
        <v>0.28999999999999998</v>
      </c>
      <c r="L443">
        <v>-204.72</v>
      </c>
      <c r="M443" s="1">
        <v>-1.78</v>
      </c>
      <c r="N443">
        <v>-1623.86</v>
      </c>
      <c r="O443" s="1">
        <v>-16.239999999999998</v>
      </c>
    </row>
    <row r="444" spans="1:15" ht="15.75" customHeight="1" x14ac:dyDescent="0.25">
      <c r="A444">
        <v>222</v>
      </c>
      <c r="B444" t="s">
        <v>76</v>
      </c>
      <c r="C444" s="2">
        <v>46043.6875</v>
      </c>
      <c r="D444" t="s">
        <v>77</v>
      </c>
      <c r="E444">
        <v>88728.6</v>
      </c>
      <c r="F444">
        <v>0.12695999999999999</v>
      </c>
      <c r="G444">
        <v>11465.122799999999</v>
      </c>
      <c r="H444">
        <v>-209.23</v>
      </c>
      <c r="I444" s="1">
        <v>-1.82</v>
      </c>
      <c r="J444">
        <v>32.799999999999997</v>
      </c>
      <c r="K444" s="1">
        <v>0.28999999999999998</v>
      </c>
      <c r="L444">
        <v>-204.73</v>
      </c>
      <c r="M444" s="1">
        <v>-1.78</v>
      </c>
      <c r="N444">
        <v>-1828.51</v>
      </c>
      <c r="O444" s="1">
        <v>-18.29</v>
      </c>
    </row>
    <row r="445" spans="1:15" ht="15.75" customHeight="1" x14ac:dyDescent="0.25">
      <c r="A445">
        <v>222</v>
      </c>
      <c r="B445" t="s">
        <v>78</v>
      </c>
      <c r="C445" s="2">
        <v>46043.625</v>
      </c>
      <c r="D445" t="s">
        <v>79</v>
      </c>
      <c r="E445">
        <v>90305</v>
      </c>
      <c r="F445">
        <v>0.12695999999999999</v>
      </c>
      <c r="G445">
        <v>11465.122799999999</v>
      </c>
      <c r="H445">
        <v>-209.23</v>
      </c>
      <c r="I445" s="1">
        <v>-1.82</v>
      </c>
      <c r="J445">
        <v>32.799999999999997</v>
      </c>
      <c r="K445" s="1">
        <v>0.28999999999999998</v>
      </c>
      <c r="L445">
        <v>-204.73</v>
      </c>
      <c r="M445" s="1">
        <v>-1.78</v>
      </c>
      <c r="N445">
        <v>-1828.51</v>
      </c>
      <c r="O445" s="1">
        <v>-18.29</v>
      </c>
    </row>
    <row r="446" spans="1:15" ht="15.75" customHeight="1" x14ac:dyDescent="0.25">
      <c r="A446">
        <v>223</v>
      </c>
      <c r="B446" t="s">
        <v>80</v>
      </c>
      <c r="C446" s="2">
        <v>46043.822916666657</v>
      </c>
      <c r="D446" t="s">
        <v>77</v>
      </c>
      <c r="E446">
        <v>90159</v>
      </c>
      <c r="F446">
        <v>7.3573E-2</v>
      </c>
      <c r="G446">
        <v>6483.1939015999997</v>
      </c>
      <c r="H446">
        <v>-155.32</v>
      </c>
      <c r="I446" s="1">
        <v>-2.39</v>
      </c>
      <c r="J446">
        <v>64.63</v>
      </c>
      <c r="K446" s="1">
        <v>1</v>
      </c>
      <c r="L446">
        <v>-152.66999999999999</v>
      </c>
      <c r="M446" s="1">
        <v>-2.35</v>
      </c>
      <c r="N446">
        <v>-1986.42</v>
      </c>
      <c r="O446" s="1">
        <v>-19.86</v>
      </c>
    </row>
    <row r="447" spans="1:15" ht="15.75" customHeight="1" x14ac:dyDescent="0.25">
      <c r="A447">
        <v>223</v>
      </c>
      <c r="B447" t="s">
        <v>82</v>
      </c>
      <c r="C447" s="2">
        <v>46043.6875</v>
      </c>
      <c r="D447" t="s">
        <v>83</v>
      </c>
      <c r="E447">
        <v>88119.2</v>
      </c>
      <c r="F447">
        <v>7.3573E-2</v>
      </c>
      <c r="G447">
        <v>6483.1939015999997</v>
      </c>
      <c r="H447">
        <v>-155.32</v>
      </c>
      <c r="I447" s="1">
        <v>-2.39</v>
      </c>
      <c r="J447">
        <v>64.63</v>
      </c>
      <c r="K447" s="1">
        <v>1</v>
      </c>
      <c r="L447">
        <v>-152.66999999999999</v>
      </c>
      <c r="M447" s="1">
        <v>-2.35</v>
      </c>
      <c r="N447">
        <v>-1986.42</v>
      </c>
      <c r="O447" s="1">
        <v>-19.86</v>
      </c>
    </row>
    <row r="448" spans="1:15" ht="15.75" customHeight="1" x14ac:dyDescent="0.25">
      <c r="A448">
        <v>224</v>
      </c>
      <c r="B448" t="s">
        <v>80</v>
      </c>
      <c r="C448" s="2">
        <v>46043.822916666657</v>
      </c>
      <c r="D448" t="s">
        <v>77</v>
      </c>
      <c r="E448">
        <v>90159</v>
      </c>
      <c r="F448">
        <v>7.3574000000000001E-2</v>
      </c>
      <c r="G448">
        <v>6483.2820208000003</v>
      </c>
      <c r="H448">
        <v>-155.32</v>
      </c>
      <c r="I448" s="1">
        <v>-2.39</v>
      </c>
      <c r="J448">
        <v>64.63</v>
      </c>
      <c r="K448" s="1">
        <v>1</v>
      </c>
      <c r="L448">
        <v>-152.66999999999999</v>
      </c>
      <c r="M448" s="1">
        <v>-2.35</v>
      </c>
      <c r="N448">
        <v>-2139.15</v>
      </c>
      <c r="O448" s="1">
        <v>-21.39</v>
      </c>
    </row>
    <row r="449" spans="1:15" ht="15.75" customHeight="1" x14ac:dyDescent="0.25">
      <c r="A449">
        <v>224</v>
      </c>
      <c r="B449" t="s">
        <v>82</v>
      </c>
      <c r="C449" s="2">
        <v>46043.6875</v>
      </c>
      <c r="D449" t="s">
        <v>83</v>
      </c>
      <c r="E449">
        <v>88119.2</v>
      </c>
      <c r="F449">
        <v>7.3574000000000001E-2</v>
      </c>
      <c r="G449">
        <v>6483.2820208000003</v>
      </c>
      <c r="H449">
        <v>-155.32</v>
      </c>
      <c r="I449" s="1">
        <v>-2.39</v>
      </c>
      <c r="J449">
        <v>64.63</v>
      </c>
      <c r="K449" s="1">
        <v>1</v>
      </c>
      <c r="L449">
        <v>-152.66999999999999</v>
      </c>
      <c r="M449" s="1">
        <v>-2.35</v>
      </c>
      <c r="N449">
        <v>-2139.15</v>
      </c>
      <c r="O449" s="1">
        <v>-21.39</v>
      </c>
    </row>
    <row r="450" spans="1:15" ht="15.75" customHeight="1" x14ac:dyDescent="0.25">
      <c r="A450">
        <v>225</v>
      </c>
      <c r="B450" t="s">
        <v>76</v>
      </c>
      <c r="C450" s="2">
        <v>46047.666666666657</v>
      </c>
      <c r="D450" t="s">
        <v>77</v>
      </c>
      <c r="E450">
        <v>87995.6</v>
      </c>
      <c r="F450">
        <v>8.5994000000000001E-2</v>
      </c>
      <c r="G450">
        <v>7767.1844655999994</v>
      </c>
      <c r="H450">
        <v>-206.22</v>
      </c>
      <c r="I450" s="1">
        <v>-2.65</v>
      </c>
      <c r="J450">
        <v>71.930000000000007</v>
      </c>
      <c r="K450" s="1">
        <v>0.93</v>
      </c>
      <c r="L450">
        <v>-203.2</v>
      </c>
      <c r="M450" s="1">
        <v>-2.62</v>
      </c>
      <c r="N450">
        <v>-2348.48</v>
      </c>
      <c r="O450" s="1">
        <v>-23.48</v>
      </c>
    </row>
    <row r="451" spans="1:15" ht="15.75" customHeight="1" x14ac:dyDescent="0.25">
      <c r="A451">
        <v>225</v>
      </c>
      <c r="B451" t="s">
        <v>78</v>
      </c>
      <c r="C451" s="2">
        <v>46043.822916666657</v>
      </c>
      <c r="D451" t="s">
        <v>79</v>
      </c>
      <c r="E451">
        <v>90322.4</v>
      </c>
      <c r="F451">
        <v>8.5994000000000001E-2</v>
      </c>
      <c r="G451">
        <v>7767.1844655999994</v>
      </c>
      <c r="H451">
        <v>-206.22</v>
      </c>
      <c r="I451" s="1">
        <v>-2.65</v>
      </c>
      <c r="J451">
        <v>71.930000000000007</v>
      </c>
      <c r="K451" s="1">
        <v>0.93</v>
      </c>
      <c r="L451">
        <v>-203.2</v>
      </c>
      <c r="M451" s="1">
        <v>-2.62</v>
      </c>
      <c r="N451">
        <v>-2348.48</v>
      </c>
      <c r="O451" s="1">
        <v>-23.48</v>
      </c>
    </row>
    <row r="452" spans="1:15" ht="15.75" customHeight="1" x14ac:dyDescent="0.25">
      <c r="A452">
        <v>226</v>
      </c>
      <c r="B452" t="s">
        <v>76</v>
      </c>
      <c r="C452" s="2">
        <v>46047.666666666657</v>
      </c>
      <c r="D452" t="s">
        <v>77</v>
      </c>
      <c r="E452">
        <v>87995.6</v>
      </c>
      <c r="F452">
        <v>8.5995000000000002E-2</v>
      </c>
      <c r="G452">
        <v>7767.2747879999997</v>
      </c>
      <c r="H452">
        <v>-206.23</v>
      </c>
      <c r="I452" s="1">
        <v>-2.65</v>
      </c>
      <c r="J452">
        <v>71.930000000000007</v>
      </c>
      <c r="K452" s="1">
        <v>0.93</v>
      </c>
      <c r="L452">
        <v>-203.2</v>
      </c>
      <c r="M452" s="1">
        <v>-2.62</v>
      </c>
      <c r="N452">
        <v>-2551.6</v>
      </c>
      <c r="O452" s="1">
        <v>-25.52</v>
      </c>
    </row>
    <row r="453" spans="1:15" ht="15.75" customHeight="1" x14ac:dyDescent="0.25">
      <c r="A453">
        <v>226</v>
      </c>
      <c r="B453" t="s">
        <v>78</v>
      </c>
      <c r="C453" s="2">
        <v>46043.822916666657</v>
      </c>
      <c r="D453" t="s">
        <v>79</v>
      </c>
      <c r="E453">
        <v>90322.4</v>
      </c>
      <c r="F453">
        <v>8.5995000000000002E-2</v>
      </c>
      <c r="G453">
        <v>7767.2747879999997</v>
      </c>
      <c r="H453">
        <v>-206.23</v>
      </c>
      <c r="I453" s="1">
        <v>-2.65</v>
      </c>
      <c r="J453">
        <v>71.930000000000007</v>
      </c>
      <c r="K453" s="1">
        <v>0.93</v>
      </c>
      <c r="L453">
        <v>-203.2</v>
      </c>
      <c r="M453" s="1">
        <v>-2.62</v>
      </c>
      <c r="N453">
        <v>-2551.6</v>
      </c>
      <c r="O453" s="1">
        <v>-25.52</v>
      </c>
    </row>
    <row r="454" spans="1:15" ht="15.75" customHeight="1" x14ac:dyDescent="0.25">
      <c r="A454">
        <v>227</v>
      </c>
      <c r="B454" t="s">
        <v>80</v>
      </c>
      <c r="C454" s="2">
        <v>46048.052083333343</v>
      </c>
      <c r="D454" t="s">
        <v>85</v>
      </c>
      <c r="E454">
        <v>87493.1</v>
      </c>
      <c r="F454">
        <v>0.20410300000000001</v>
      </c>
      <c r="G454">
        <v>17933.448864099999</v>
      </c>
      <c r="H454">
        <v>61.53</v>
      </c>
      <c r="I454" s="1">
        <v>0.34</v>
      </c>
      <c r="J454">
        <v>368.99</v>
      </c>
      <c r="K454" s="1">
        <v>2.06</v>
      </c>
      <c r="L454">
        <v>-61.67</v>
      </c>
      <c r="M454" s="1">
        <v>-0.34</v>
      </c>
      <c r="N454">
        <v>-2497.25</v>
      </c>
      <c r="O454" s="1">
        <v>-24.97</v>
      </c>
    </row>
    <row r="455" spans="1:15" ht="15.75" customHeight="1" x14ac:dyDescent="0.25">
      <c r="A455">
        <v>227</v>
      </c>
      <c r="B455" t="s">
        <v>82</v>
      </c>
      <c r="C455" s="2">
        <v>46047.666666666657</v>
      </c>
      <c r="D455" t="s">
        <v>83</v>
      </c>
      <c r="E455">
        <v>87864.7</v>
      </c>
      <c r="F455">
        <v>0.20410300000000001</v>
      </c>
      <c r="G455">
        <v>17933.448864099999</v>
      </c>
      <c r="H455">
        <v>61.53</v>
      </c>
      <c r="I455" s="1">
        <v>0.34</v>
      </c>
      <c r="J455">
        <v>368.99</v>
      </c>
      <c r="K455" s="1">
        <v>2.06</v>
      </c>
      <c r="L455">
        <v>-61.67</v>
      </c>
      <c r="M455" s="1">
        <v>-0.34</v>
      </c>
      <c r="N455">
        <v>-2497.25</v>
      </c>
      <c r="O455" s="1">
        <v>-24.97</v>
      </c>
    </row>
    <row r="456" spans="1:15" ht="15.75" customHeight="1" x14ac:dyDescent="0.25">
      <c r="A456">
        <v>228</v>
      </c>
      <c r="B456" t="s">
        <v>80</v>
      </c>
      <c r="C456" s="2">
        <v>46048.052083333343</v>
      </c>
      <c r="D456" t="s">
        <v>85</v>
      </c>
      <c r="E456">
        <v>87493.1</v>
      </c>
      <c r="F456">
        <v>0.20410300000000001</v>
      </c>
      <c r="G456">
        <v>17933.448864099999</v>
      </c>
      <c r="H456">
        <v>61.53</v>
      </c>
      <c r="I456" s="1">
        <v>0.34</v>
      </c>
      <c r="J456">
        <v>368.99</v>
      </c>
      <c r="K456" s="1">
        <v>2.06</v>
      </c>
      <c r="L456">
        <v>-61.67</v>
      </c>
      <c r="M456" s="1">
        <v>-0.34</v>
      </c>
      <c r="N456">
        <v>-2428.5500000000002</v>
      </c>
      <c r="O456" s="1">
        <v>-24.29</v>
      </c>
    </row>
    <row r="457" spans="1:15" ht="15.75" customHeight="1" x14ac:dyDescent="0.25">
      <c r="A457">
        <v>228</v>
      </c>
      <c r="B457" t="s">
        <v>82</v>
      </c>
      <c r="C457" s="2">
        <v>46047.666666666657</v>
      </c>
      <c r="D457" t="s">
        <v>83</v>
      </c>
      <c r="E457">
        <v>87864.7</v>
      </c>
      <c r="F457">
        <v>0.20410300000000001</v>
      </c>
      <c r="G457">
        <v>17933.448864099999</v>
      </c>
      <c r="H457">
        <v>61.53</v>
      </c>
      <c r="I457" s="1">
        <v>0.34</v>
      </c>
      <c r="J457">
        <v>368.99</v>
      </c>
      <c r="K457" s="1">
        <v>2.06</v>
      </c>
      <c r="L457">
        <v>-61.67</v>
      </c>
      <c r="M457" s="1">
        <v>-0.34</v>
      </c>
      <c r="N457">
        <v>-2428.5500000000002</v>
      </c>
      <c r="O457" s="1">
        <v>-24.29</v>
      </c>
    </row>
    <row r="458" spans="1:15" ht="15.75" customHeight="1" x14ac:dyDescent="0.25">
      <c r="A458">
        <v>229</v>
      </c>
      <c r="B458" t="s">
        <v>80</v>
      </c>
      <c r="C458" s="2">
        <v>46049.864583333343</v>
      </c>
      <c r="D458" t="s">
        <v>77</v>
      </c>
      <c r="E458">
        <v>89286.7</v>
      </c>
      <c r="F458">
        <v>8.9964000000000002E-2</v>
      </c>
      <c r="G458">
        <v>7882.4927412000006</v>
      </c>
      <c r="H458">
        <v>-156.46</v>
      </c>
      <c r="I458" s="1">
        <v>-1.98</v>
      </c>
      <c r="J458">
        <v>56.07</v>
      </c>
      <c r="K458" s="1">
        <v>0.71</v>
      </c>
      <c r="L458">
        <v>-153.25</v>
      </c>
      <c r="M458" s="1">
        <v>-1.94</v>
      </c>
      <c r="N458">
        <v>-2588.16</v>
      </c>
      <c r="O458" s="1">
        <v>-25.88</v>
      </c>
    </row>
    <row r="459" spans="1:15" ht="15.75" customHeight="1" x14ac:dyDescent="0.25">
      <c r="A459">
        <v>229</v>
      </c>
      <c r="B459" t="s">
        <v>82</v>
      </c>
      <c r="C459" s="2">
        <v>46048.052083333343</v>
      </c>
      <c r="D459" t="s">
        <v>83</v>
      </c>
      <c r="E459">
        <v>87618.3</v>
      </c>
      <c r="F459">
        <v>8.9964000000000002E-2</v>
      </c>
      <c r="G459">
        <v>7882.4927412000006</v>
      </c>
      <c r="H459">
        <v>-156.46</v>
      </c>
      <c r="I459" s="1">
        <v>-1.98</v>
      </c>
      <c r="J459">
        <v>56.07</v>
      </c>
      <c r="K459" s="1">
        <v>0.71</v>
      </c>
      <c r="L459">
        <v>-153.25</v>
      </c>
      <c r="M459" s="1">
        <v>-1.94</v>
      </c>
      <c r="N459">
        <v>-2588.16</v>
      </c>
      <c r="O459" s="1">
        <v>-25.88</v>
      </c>
    </row>
    <row r="460" spans="1:15" ht="15.75" customHeight="1" x14ac:dyDescent="0.25">
      <c r="A460">
        <v>230</v>
      </c>
      <c r="B460" t="s">
        <v>80</v>
      </c>
      <c r="C460" s="2">
        <v>46049.864583333343</v>
      </c>
      <c r="D460" t="s">
        <v>77</v>
      </c>
      <c r="E460">
        <v>89286.7</v>
      </c>
      <c r="F460">
        <v>8.9965000000000003E-2</v>
      </c>
      <c r="G460">
        <v>7882.5803595000007</v>
      </c>
      <c r="H460">
        <v>-156.46</v>
      </c>
      <c r="I460" s="1">
        <v>-1.98</v>
      </c>
      <c r="J460">
        <v>56.07</v>
      </c>
      <c r="K460" s="1">
        <v>0.71</v>
      </c>
      <c r="L460">
        <v>-153.25</v>
      </c>
      <c r="M460" s="1">
        <v>-1.94</v>
      </c>
      <c r="N460">
        <v>-2741.47</v>
      </c>
      <c r="O460" s="1">
        <v>-27.41</v>
      </c>
    </row>
    <row r="461" spans="1:15" ht="15.75" customHeight="1" x14ac:dyDescent="0.25">
      <c r="A461">
        <v>230</v>
      </c>
      <c r="B461" t="s">
        <v>82</v>
      </c>
      <c r="C461" s="2">
        <v>46048.052083333343</v>
      </c>
      <c r="D461" t="s">
        <v>83</v>
      </c>
      <c r="E461">
        <v>87618.3</v>
      </c>
      <c r="F461">
        <v>8.9965000000000003E-2</v>
      </c>
      <c r="G461">
        <v>7882.5803595000007</v>
      </c>
      <c r="H461">
        <v>-156.46</v>
      </c>
      <c r="I461" s="1">
        <v>-1.98</v>
      </c>
      <c r="J461">
        <v>56.07</v>
      </c>
      <c r="K461" s="1">
        <v>0.71</v>
      </c>
      <c r="L461">
        <v>-153.25</v>
      </c>
      <c r="M461" s="1">
        <v>-1.94</v>
      </c>
      <c r="N461">
        <v>-2741.47</v>
      </c>
      <c r="O461" s="1">
        <v>-27.41</v>
      </c>
    </row>
    <row r="462" spans="1:15" ht="15.75" customHeight="1" x14ac:dyDescent="0.25">
      <c r="A462">
        <v>231</v>
      </c>
      <c r="B462" t="s">
        <v>76</v>
      </c>
      <c r="C462" s="2">
        <v>46051.114583333343</v>
      </c>
      <c r="D462" t="s">
        <v>77</v>
      </c>
      <c r="E462">
        <v>87857.3</v>
      </c>
      <c r="F462">
        <v>0.13313700000000001</v>
      </c>
      <c r="G462">
        <v>11897.2022022</v>
      </c>
      <c r="H462">
        <v>-209.58</v>
      </c>
      <c r="I462" s="1">
        <v>-1.76</v>
      </c>
      <c r="J462">
        <v>159.28</v>
      </c>
      <c r="K462" s="1">
        <v>1.34</v>
      </c>
      <c r="L462">
        <v>-204.9</v>
      </c>
      <c r="M462" s="1">
        <v>-1.72</v>
      </c>
      <c r="N462">
        <v>-2955.81</v>
      </c>
      <c r="O462" s="1">
        <v>-29.56</v>
      </c>
    </row>
    <row r="463" spans="1:15" ht="15.75" customHeight="1" x14ac:dyDescent="0.25">
      <c r="A463">
        <v>231</v>
      </c>
      <c r="B463" t="s">
        <v>78</v>
      </c>
      <c r="C463" s="2">
        <v>46049.864583333343</v>
      </c>
      <c r="D463" t="s">
        <v>79</v>
      </c>
      <c r="E463">
        <v>89360.6</v>
      </c>
      <c r="F463">
        <v>0.13313700000000001</v>
      </c>
      <c r="G463">
        <v>11897.2022022</v>
      </c>
      <c r="H463">
        <v>-209.58</v>
      </c>
      <c r="I463" s="1">
        <v>-1.76</v>
      </c>
      <c r="J463">
        <v>159.28</v>
      </c>
      <c r="K463" s="1">
        <v>1.34</v>
      </c>
      <c r="L463">
        <v>-204.9</v>
      </c>
      <c r="M463" s="1">
        <v>-1.72</v>
      </c>
      <c r="N463">
        <v>-2955.81</v>
      </c>
      <c r="O463" s="1">
        <v>-29.56</v>
      </c>
    </row>
    <row r="464" spans="1:15" ht="15.75" customHeight="1" x14ac:dyDescent="0.25">
      <c r="A464">
        <v>232</v>
      </c>
      <c r="B464" t="s">
        <v>76</v>
      </c>
      <c r="C464" s="2">
        <v>46051.114583333343</v>
      </c>
      <c r="D464" t="s">
        <v>77</v>
      </c>
      <c r="E464">
        <v>87857.3</v>
      </c>
      <c r="F464">
        <v>0.13313700000000001</v>
      </c>
      <c r="G464">
        <v>11897.2022022</v>
      </c>
      <c r="H464">
        <v>-209.58</v>
      </c>
      <c r="I464" s="1">
        <v>-1.76</v>
      </c>
      <c r="J464">
        <v>159.28</v>
      </c>
      <c r="K464" s="1">
        <v>1.34</v>
      </c>
      <c r="L464">
        <v>-204.9</v>
      </c>
      <c r="M464" s="1">
        <v>-1.72</v>
      </c>
      <c r="N464">
        <v>-3160.64</v>
      </c>
      <c r="O464" s="1">
        <v>-31.61</v>
      </c>
    </row>
    <row r="465" spans="1:15" ht="15.75" customHeight="1" x14ac:dyDescent="0.25">
      <c r="A465">
        <v>232</v>
      </c>
      <c r="B465" t="s">
        <v>78</v>
      </c>
      <c r="C465" s="2">
        <v>46049.864583333343</v>
      </c>
      <c r="D465" t="s">
        <v>79</v>
      </c>
      <c r="E465">
        <v>89360.6</v>
      </c>
      <c r="F465">
        <v>0.13313700000000001</v>
      </c>
      <c r="G465">
        <v>11897.2022022</v>
      </c>
      <c r="H465">
        <v>-209.58</v>
      </c>
      <c r="I465" s="1">
        <v>-1.76</v>
      </c>
      <c r="J465">
        <v>159.28</v>
      </c>
      <c r="K465" s="1">
        <v>1.34</v>
      </c>
      <c r="L465">
        <v>-204.9</v>
      </c>
      <c r="M465" s="1">
        <v>-1.72</v>
      </c>
      <c r="N465">
        <v>-3160.64</v>
      </c>
      <c r="O465" s="1">
        <v>-31.61</v>
      </c>
    </row>
    <row r="466" spans="1:15" ht="15.75" customHeight="1" x14ac:dyDescent="0.25">
      <c r="A466">
        <v>233</v>
      </c>
      <c r="B466" t="s">
        <v>80</v>
      </c>
      <c r="C466" s="2">
        <v>46051.739583333343</v>
      </c>
      <c r="D466" t="s">
        <v>84</v>
      </c>
      <c r="E466">
        <v>84199</v>
      </c>
      <c r="F466">
        <v>0.122988</v>
      </c>
      <c r="G466">
        <v>10805.4059112</v>
      </c>
      <c r="H466">
        <v>441.47</v>
      </c>
      <c r="I466" s="1">
        <v>4.08</v>
      </c>
      <c r="J466">
        <v>445.62</v>
      </c>
      <c r="K466" s="1">
        <v>4.12</v>
      </c>
      <c r="L466">
        <v>-78.58</v>
      </c>
      <c r="M466" s="1">
        <v>-0.73</v>
      </c>
      <c r="N466">
        <v>-2723.49</v>
      </c>
      <c r="O466" s="1">
        <v>-27.23</v>
      </c>
    </row>
    <row r="467" spans="1:15" ht="15.75" customHeight="1" x14ac:dyDescent="0.25">
      <c r="A467">
        <v>233</v>
      </c>
      <c r="B467" t="s">
        <v>82</v>
      </c>
      <c r="C467" s="2">
        <v>46051.114583333343</v>
      </c>
      <c r="D467" t="s">
        <v>83</v>
      </c>
      <c r="E467">
        <v>87857.4</v>
      </c>
      <c r="F467">
        <v>0.122988</v>
      </c>
      <c r="G467">
        <v>10805.4059112</v>
      </c>
      <c r="H467">
        <v>441.47</v>
      </c>
      <c r="I467" s="1">
        <v>4.08</v>
      </c>
      <c r="J467">
        <v>445.62</v>
      </c>
      <c r="K467" s="1">
        <v>4.12</v>
      </c>
      <c r="L467">
        <v>-78.58</v>
      </c>
      <c r="M467" s="1">
        <v>-0.73</v>
      </c>
      <c r="N467">
        <v>-2723.49</v>
      </c>
      <c r="O467" s="1">
        <v>-27.23</v>
      </c>
    </row>
    <row r="468" spans="1:15" ht="15.75" customHeight="1" x14ac:dyDescent="0.25">
      <c r="A468">
        <v>234</v>
      </c>
      <c r="B468" t="s">
        <v>80</v>
      </c>
      <c r="C468" s="2">
        <v>46052.0625</v>
      </c>
      <c r="D468" t="s">
        <v>86</v>
      </c>
      <c r="E468">
        <v>81149.899999999994</v>
      </c>
      <c r="F468">
        <v>0.122989</v>
      </c>
      <c r="G468">
        <v>10805.493768599999</v>
      </c>
      <c r="H468">
        <v>816.63</v>
      </c>
      <c r="I468" s="1">
        <v>7.55</v>
      </c>
      <c r="J468">
        <v>820.63</v>
      </c>
      <c r="K468" s="1">
        <v>7.59</v>
      </c>
      <c r="L468">
        <v>-78.58</v>
      </c>
      <c r="M468" s="1">
        <v>-0.73</v>
      </c>
      <c r="N468">
        <v>-1902.53</v>
      </c>
      <c r="O468" s="1">
        <v>-19.03</v>
      </c>
    </row>
    <row r="469" spans="1:15" ht="15.75" customHeight="1" x14ac:dyDescent="0.25">
      <c r="A469">
        <v>234</v>
      </c>
      <c r="B469" t="s">
        <v>82</v>
      </c>
      <c r="C469" s="2">
        <v>46051.114583333343</v>
      </c>
      <c r="D469" t="s">
        <v>83</v>
      </c>
      <c r="E469">
        <v>87857.4</v>
      </c>
      <c r="F469">
        <v>0.122989</v>
      </c>
      <c r="G469">
        <v>10805.493768599999</v>
      </c>
      <c r="H469">
        <v>816.63</v>
      </c>
      <c r="I469" s="1">
        <v>7.55</v>
      </c>
      <c r="J469">
        <v>820.63</v>
      </c>
      <c r="K469" s="1">
        <v>7.59</v>
      </c>
      <c r="L469">
        <v>-78.58</v>
      </c>
      <c r="M469" s="1">
        <v>-0.73</v>
      </c>
      <c r="N469">
        <v>-1902.53</v>
      </c>
      <c r="O469" s="1">
        <v>-19.03</v>
      </c>
    </row>
    <row r="470" spans="1:15" ht="15.75" customHeight="1" x14ac:dyDescent="0.25">
      <c r="A470">
        <v>235</v>
      </c>
      <c r="B470" t="s">
        <v>80</v>
      </c>
      <c r="C470" s="2">
        <v>46052.78125</v>
      </c>
      <c r="D470" t="s">
        <v>77</v>
      </c>
      <c r="E470">
        <v>83950.3</v>
      </c>
      <c r="F470">
        <v>7.6480999999999993E-2</v>
      </c>
      <c r="G470">
        <v>6270.5242279999993</v>
      </c>
      <c r="H470">
        <v>-155.16</v>
      </c>
      <c r="I470" s="1">
        <v>-2.4700000000000002</v>
      </c>
      <c r="J470">
        <v>64.180000000000007</v>
      </c>
      <c r="K470" s="1">
        <v>1.02</v>
      </c>
      <c r="L470">
        <v>-152.59</v>
      </c>
      <c r="M470" s="1">
        <v>-2.4300000000000002</v>
      </c>
      <c r="N470">
        <v>-2060.19</v>
      </c>
      <c r="O470" s="1">
        <v>-20.6</v>
      </c>
    </row>
    <row r="471" spans="1:15" ht="15.75" customHeight="1" x14ac:dyDescent="0.25">
      <c r="A471">
        <v>235</v>
      </c>
      <c r="B471" t="s">
        <v>82</v>
      </c>
      <c r="C471" s="2">
        <v>46052.0625</v>
      </c>
      <c r="D471" t="s">
        <v>83</v>
      </c>
      <c r="E471">
        <v>81988</v>
      </c>
      <c r="F471">
        <v>7.6480999999999993E-2</v>
      </c>
      <c r="G471">
        <v>6270.5242279999993</v>
      </c>
      <c r="H471">
        <v>-155.16</v>
      </c>
      <c r="I471" s="1">
        <v>-2.4700000000000002</v>
      </c>
      <c r="J471">
        <v>64.180000000000007</v>
      </c>
      <c r="K471" s="1">
        <v>1.02</v>
      </c>
      <c r="L471">
        <v>-152.59</v>
      </c>
      <c r="M471" s="1">
        <v>-2.4300000000000002</v>
      </c>
      <c r="N471">
        <v>-2060.19</v>
      </c>
      <c r="O471" s="1">
        <v>-20.6</v>
      </c>
    </row>
    <row r="472" spans="1:15" ht="15.75" customHeight="1" x14ac:dyDescent="0.25">
      <c r="A472">
        <v>236</v>
      </c>
      <c r="B472" t="s">
        <v>80</v>
      </c>
      <c r="C472" s="2">
        <v>46052.78125</v>
      </c>
      <c r="D472" t="s">
        <v>77</v>
      </c>
      <c r="E472">
        <v>83950.3</v>
      </c>
      <c r="F472">
        <v>7.6480999999999993E-2</v>
      </c>
      <c r="G472">
        <v>6270.5242279999993</v>
      </c>
      <c r="H472">
        <v>-155.16</v>
      </c>
      <c r="I472" s="1">
        <v>-2.4700000000000002</v>
      </c>
      <c r="J472">
        <v>64.180000000000007</v>
      </c>
      <c r="K472" s="1">
        <v>1.02</v>
      </c>
      <c r="L472">
        <v>-152.59</v>
      </c>
      <c r="M472" s="1">
        <v>-2.4300000000000002</v>
      </c>
      <c r="N472">
        <v>-2212.84</v>
      </c>
      <c r="O472" s="1">
        <v>-22.13</v>
      </c>
    </row>
    <row r="473" spans="1:15" ht="15.75" customHeight="1" x14ac:dyDescent="0.25">
      <c r="A473">
        <v>236</v>
      </c>
      <c r="B473" t="s">
        <v>82</v>
      </c>
      <c r="C473" s="2">
        <v>46052.0625</v>
      </c>
      <c r="D473" t="s">
        <v>83</v>
      </c>
      <c r="E473">
        <v>81988</v>
      </c>
      <c r="F473">
        <v>7.6480999999999993E-2</v>
      </c>
      <c r="G473">
        <v>6270.5242279999993</v>
      </c>
      <c r="H473">
        <v>-155.16</v>
      </c>
      <c r="I473" s="1">
        <v>-2.4700000000000002</v>
      </c>
      <c r="J473">
        <v>64.180000000000007</v>
      </c>
      <c r="K473" s="1">
        <v>1.02</v>
      </c>
      <c r="L473">
        <v>-152.59</v>
      </c>
      <c r="M473" s="1">
        <v>-2.4300000000000002</v>
      </c>
      <c r="N473">
        <v>-2212.84</v>
      </c>
      <c r="O473" s="1">
        <v>-22.13</v>
      </c>
    </row>
    <row r="474" spans="1:15" ht="15.75" customHeight="1" x14ac:dyDescent="0.25">
      <c r="A474">
        <v>237</v>
      </c>
      <c r="B474" t="s">
        <v>76</v>
      </c>
      <c r="C474" s="2">
        <v>46053.59375</v>
      </c>
      <c r="D474" t="s">
        <v>77</v>
      </c>
      <c r="E474">
        <v>81419</v>
      </c>
      <c r="F474">
        <v>8.0717999999999998E-2</v>
      </c>
      <c r="G474">
        <v>6772.0626204</v>
      </c>
      <c r="H474">
        <v>-205.42</v>
      </c>
      <c r="I474" s="1">
        <v>-3.03</v>
      </c>
      <c r="J474">
        <v>53.89</v>
      </c>
      <c r="K474" s="1">
        <v>0.8</v>
      </c>
      <c r="L474">
        <v>-202.79</v>
      </c>
      <c r="M474" s="1">
        <v>-2.99</v>
      </c>
      <c r="N474">
        <v>-2420.9699999999998</v>
      </c>
      <c r="O474" s="1">
        <v>-24.21</v>
      </c>
    </row>
    <row r="475" spans="1:15" ht="15.75" customHeight="1" x14ac:dyDescent="0.25">
      <c r="A475">
        <v>237</v>
      </c>
      <c r="B475" t="s">
        <v>78</v>
      </c>
      <c r="C475" s="2">
        <v>46052.78125</v>
      </c>
      <c r="D475" t="s">
        <v>79</v>
      </c>
      <c r="E475">
        <v>83897.8</v>
      </c>
      <c r="F475">
        <v>8.0717999999999998E-2</v>
      </c>
      <c r="G475">
        <v>6772.0626204</v>
      </c>
      <c r="H475">
        <v>-205.42</v>
      </c>
      <c r="I475" s="1">
        <v>-3.03</v>
      </c>
      <c r="J475">
        <v>53.89</v>
      </c>
      <c r="K475" s="1">
        <v>0.8</v>
      </c>
      <c r="L475">
        <v>-202.79</v>
      </c>
      <c r="M475" s="1">
        <v>-2.99</v>
      </c>
      <c r="N475">
        <v>-2420.9699999999998</v>
      </c>
      <c r="O475" s="1">
        <v>-24.21</v>
      </c>
    </row>
    <row r="476" spans="1:15" ht="15.75" customHeight="1" x14ac:dyDescent="0.25">
      <c r="A476">
        <v>238</v>
      </c>
      <c r="B476" t="s">
        <v>76</v>
      </c>
      <c r="C476" s="2">
        <v>46053.59375</v>
      </c>
      <c r="D476" t="s">
        <v>77</v>
      </c>
      <c r="E476">
        <v>81419</v>
      </c>
      <c r="F476">
        <v>8.0717999999999998E-2</v>
      </c>
      <c r="G476">
        <v>6772.0626204</v>
      </c>
      <c r="H476">
        <v>-205.42</v>
      </c>
      <c r="I476" s="1">
        <v>-3.03</v>
      </c>
      <c r="J476">
        <v>53.89</v>
      </c>
      <c r="K476" s="1">
        <v>0.8</v>
      </c>
      <c r="L476">
        <v>-202.79</v>
      </c>
      <c r="M476" s="1">
        <v>-2.99</v>
      </c>
      <c r="N476">
        <v>-2623.68</v>
      </c>
      <c r="O476" s="1">
        <v>-26.24</v>
      </c>
    </row>
    <row r="477" spans="1:15" ht="15.75" customHeight="1" x14ac:dyDescent="0.25">
      <c r="A477">
        <v>238</v>
      </c>
      <c r="B477" t="s">
        <v>78</v>
      </c>
      <c r="C477" s="2">
        <v>46052.78125</v>
      </c>
      <c r="D477" t="s">
        <v>79</v>
      </c>
      <c r="E477">
        <v>83897.8</v>
      </c>
      <c r="F477">
        <v>8.0717999999999998E-2</v>
      </c>
      <c r="G477">
        <v>6772.0626204</v>
      </c>
      <c r="H477">
        <v>-205.42</v>
      </c>
      <c r="I477" s="1">
        <v>-3.03</v>
      </c>
      <c r="J477">
        <v>53.89</v>
      </c>
      <c r="K477" s="1">
        <v>0.8</v>
      </c>
      <c r="L477">
        <v>-202.79</v>
      </c>
      <c r="M477" s="1">
        <v>-2.99</v>
      </c>
      <c r="N477">
        <v>-2623.68</v>
      </c>
      <c r="O477" s="1">
        <v>-26.24</v>
      </c>
    </row>
    <row r="478" spans="1:15" ht="15.75" customHeight="1" x14ac:dyDescent="0.25">
      <c r="A478">
        <v>239</v>
      </c>
      <c r="B478" t="s">
        <v>80</v>
      </c>
      <c r="C478" s="2">
        <v>46053.770833333343</v>
      </c>
      <c r="D478" t="s">
        <v>84</v>
      </c>
      <c r="E478">
        <v>77671.100000000006</v>
      </c>
      <c r="F478">
        <v>0.11545999999999999</v>
      </c>
      <c r="G478">
        <v>9417.8528260000003</v>
      </c>
      <c r="H478">
        <v>442.59</v>
      </c>
      <c r="I478" s="1">
        <v>4.7</v>
      </c>
      <c r="J478">
        <v>446.18</v>
      </c>
      <c r="K478" s="1">
        <v>4.74</v>
      </c>
      <c r="L478">
        <v>-76.73</v>
      </c>
      <c r="M478" s="1">
        <v>-0.81</v>
      </c>
      <c r="N478">
        <v>-2184.86</v>
      </c>
      <c r="O478" s="1">
        <v>-21.85</v>
      </c>
    </row>
    <row r="479" spans="1:15" ht="15.75" customHeight="1" x14ac:dyDescent="0.25">
      <c r="A479">
        <v>239</v>
      </c>
      <c r="B479" t="s">
        <v>82</v>
      </c>
      <c r="C479" s="2">
        <v>46053.59375</v>
      </c>
      <c r="D479" t="s">
        <v>83</v>
      </c>
      <c r="E479">
        <v>81568.100000000006</v>
      </c>
      <c r="F479">
        <v>0.11545999999999999</v>
      </c>
      <c r="G479">
        <v>9417.8528260000003</v>
      </c>
      <c r="H479">
        <v>442.59</v>
      </c>
      <c r="I479" s="1">
        <v>4.7</v>
      </c>
      <c r="J479">
        <v>446.18</v>
      </c>
      <c r="K479" s="1">
        <v>4.74</v>
      </c>
      <c r="L479">
        <v>-76.73</v>
      </c>
      <c r="M479" s="1">
        <v>-0.81</v>
      </c>
      <c r="N479">
        <v>-2184.86</v>
      </c>
      <c r="O479" s="1">
        <v>-21.85</v>
      </c>
    </row>
    <row r="480" spans="1:15" ht="15.75" customHeight="1" x14ac:dyDescent="0.25">
      <c r="A480">
        <v>240</v>
      </c>
      <c r="B480" t="s">
        <v>80</v>
      </c>
      <c r="C480" s="2">
        <v>46053.770833333343</v>
      </c>
      <c r="D480" t="s">
        <v>85</v>
      </c>
      <c r="E480">
        <v>77519.3</v>
      </c>
      <c r="F480">
        <v>0.11545999999999999</v>
      </c>
      <c r="G480">
        <v>9417.8528260000003</v>
      </c>
      <c r="H480">
        <v>460.13</v>
      </c>
      <c r="I480" s="1">
        <v>4.88</v>
      </c>
      <c r="J480">
        <v>696.86</v>
      </c>
      <c r="K480" s="1">
        <v>7.4</v>
      </c>
      <c r="L480">
        <v>-76.73</v>
      </c>
      <c r="M480" s="1">
        <v>-0.81</v>
      </c>
      <c r="N480">
        <v>-1720.96</v>
      </c>
      <c r="O480" s="1">
        <v>-17.21</v>
      </c>
    </row>
    <row r="481" spans="1:15" ht="15.75" customHeight="1" x14ac:dyDescent="0.25">
      <c r="A481">
        <v>240</v>
      </c>
      <c r="B481" t="s">
        <v>82</v>
      </c>
      <c r="C481" s="2">
        <v>46053.59375</v>
      </c>
      <c r="D481" t="s">
        <v>83</v>
      </c>
      <c r="E481">
        <v>81568.100000000006</v>
      </c>
      <c r="F481">
        <v>0.11545999999999999</v>
      </c>
      <c r="G481">
        <v>9417.8528260000003</v>
      </c>
      <c r="H481">
        <v>460.13</v>
      </c>
      <c r="I481" s="1">
        <v>4.88</v>
      </c>
      <c r="J481">
        <v>696.86</v>
      </c>
      <c r="K481" s="1">
        <v>7.4</v>
      </c>
      <c r="L481">
        <v>-76.73</v>
      </c>
      <c r="M481" s="1">
        <v>-0.81</v>
      </c>
      <c r="N481">
        <v>-1720.96</v>
      </c>
      <c r="O481" s="1">
        <v>-17.21</v>
      </c>
    </row>
    <row r="482" spans="1:15" ht="15.75" customHeight="1" x14ac:dyDescent="0.25">
      <c r="A482">
        <v>241</v>
      </c>
      <c r="B482" t="s">
        <v>80</v>
      </c>
      <c r="C482" s="2">
        <v>46054</v>
      </c>
      <c r="D482" t="s">
        <v>87</v>
      </c>
      <c r="E482">
        <v>79305.8</v>
      </c>
      <c r="F482">
        <v>8.5973999999999995E-2</v>
      </c>
      <c r="G482">
        <v>6705.6538962000004</v>
      </c>
      <c r="H482">
        <v>-117.99</v>
      </c>
      <c r="I482" s="1">
        <v>-1.76</v>
      </c>
      <c r="J482">
        <v>79.72</v>
      </c>
      <c r="K482" s="1">
        <v>1.19</v>
      </c>
      <c r="L482">
        <v>-119.64</v>
      </c>
      <c r="M482" s="1">
        <v>-1.78</v>
      </c>
      <c r="N482">
        <v>-1841.64</v>
      </c>
      <c r="O482" s="1">
        <v>-18.420000000000002</v>
      </c>
    </row>
    <row r="483" spans="1:15" ht="15.75" customHeight="1" x14ac:dyDescent="0.25">
      <c r="A483">
        <v>241</v>
      </c>
      <c r="B483" t="s">
        <v>82</v>
      </c>
      <c r="C483" s="2">
        <v>46053.78125</v>
      </c>
      <c r="D483" t="s">
        <v>83</v>
      </c>
      <c r="E483">
        <v>77996.3</v>
      </c>
      <c r="F483">
        <v>8.5973999999999995E-2</v>
      </c>
      <c r="G483">
        <v>6705.6538962000004</v>
      </c>
      <c r="H483">
        <v>-117.99</v>
      </c>
      <c r="I483" s="1">
        <v>-1.76</v>
      </c>
      <c r="J483">
        <v>79.72</v>
      </c>
      <c r="K483" s="1">
        <v>1.19</v>
      </c>
      <c r="L483">
        <v>-119.64</v>
      </c>
      <c r="M483" s="1">
        <v>-1.78</v>
      </c>
      <c r="N483">
        <v>-1841.64</v>
      </c>
      <c r="O483" s="1">
        <v>-18.420000000000002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63"/>
  <sheetViews>
    <sheetView tabSelected="1" topLeftCell="A229" workbookViewId="0">
      <selection activeCell="B6" sqref="B6"/>
    </sheetView>
  </sheetViews>
  <sheetFormatPr defaultRowHeight="15.75" x14ac:dyDescent="0.25"/>
  <cols>
    <col min="2" max="2" width="50.875" customWidth="1"/>
    <col min="3" max="3" width="63.25" bestFit="1" customWidth="1"/>
    <col min="4" max="4" width="7.625" bestFit="1" customWidth="1"/>
    <col min="5" max="5" width="11.25" bestFit="1" customWidth="1"/>
    <col min="6" max="9" width="11.25" customWidth="1"/>
    <col min="10" max="10" width="6.125" bestFit="1" customWidth="1"/>
    <col min="11" max="11" width="9.625" bestFit="1" customWidth="1"/>
  </cols>
  <sheetData>
    <row r="1" spans="1:14" x14ac:dyDescent="0.25"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</row>
    <row r="2" spans="1:14" x14ac:dyDescent="0.25">
      <c r="B2" t="s">
        <v>101</v>
      </c>
      <c r="C2" t="s">
        <v>102</v>
      </c>
    </row>
    <row r="3" spans="1:14" x14ac:dyDescent="0.25">
      <c r="B3" t="s">
        <v>103</v>
      </c>
      <c r="C3" t="s">
        <v>104</v>
      </c>
    </row>
    <row r="4" spans="1:14" x14ac:dyDescent="0.25">
      <c r="B4" t="s">
        <v>105</v>
      </c>
      <c r="C4" t="s">
        <v>106</v>
      </c>
    </row>
    <row r="5" spans="1:14" x14ac:dyDescent="0.25">
      <c r="B5" t="s">
        <v>107</v>
      </c>
      <c r="C5" t="s">
        <v>108</v>
      </c>
    </row>
    <row r="6" spans="1:14" x14ac:dyDescent="0.25">
      <c r="B6" t="s">
        <v>109</v>
      </c>
      <c r="C6" t="s">
        <v>110</v>
      </c>
    </row>
    <row r="7" spans="1:14" x14ac:dyDescent="0.25">
      <c r="A7">
        <v>1</v>
      </c>
      <c r="B7" t="s">
        <v>111</v>
      </c>
      <c r="C7" t="s">
        <v>112</v>
      </c>
      <c r="J7" t="s">
        <v>113</v>
      </c>
      <c r="K7" t="s">
        <v>112</v>
      </c>
    </row>
    <row r="8" spans="1:14" x14ac:dyDescent="0.25">
      <c r="A8">
        <v>2</v>
      </c>
      <c r="B8" t="s">
        <v>114</v>
      </c>
      <c r="C8" t="s">
        <v>115</v>
      </c>
      <c r="J8" t="s">
        <v>113</v>
      </c>
      <c r="K8" t="s">
        <v>115</v>
      </c>
    </row>
    <row r="9" spans="1:14" x14ac:dyDescent="0.25">
      <c r="A9">
        <v>3</v>
      </c>
      <c r="B9" t="s">
        <v>116</v>
      </c>
      <c r="C9" t="s">
        <v>117</v>
      </c>
      <c r="J9" t="s">
        <v>113</v>
      </c>
      <c r="K9" t="s">
        <v>117</v>
      </c>
    </row>
    <row r="10" spans="1:14" x14ac:dyDescent="0.25">
      <c r="A10">
        <v>4</v>
      </c>
      <c r="B10" t="s">
        <v>118</v>
      </c>
      <c r="C10" t="s">
        <v>119</v>
      </c>
      <c r="J10" t="s">
        <v>113</v>
      </c>
      <c r="K10" t="s">
        <v>119</v>
      </c>
    </row>
    <row r="11" spans="1:14" x14ac:dyDescent="0.25">
      <c r="A11">
        <v>5</v>
      </c>
      <c r="B11" t="s">
        <v>120</v>
      </c>
      <c r="C11" t="s">
        <v>121</v>
      </c>
      <c r="J11">
        <f t="shared" ref="J11:J40" si="0">COUNTA(K11:U11)</f>
        <v>2</v>
      </c>
      <c r="K11" t="s">
        <v>121</v>
      </c>
      <c r="L11" t="s">
        <v>122</v>
      </c>
    </row>
    <row r="12" spans="1:14" x14ac:dyDescent="0.25">
      <c r="A12">
        <v>6</v>
      </c>
      <c r="B12" t="s">
        <v>123</v>
      </c>
      <c r="C12" t="s">
        <v>121</v>
      </c>
      <c r="J12">
        <f t="shared" si="0"/>
        <v>2</v>
      </c>
      <c r="K12" t="s">
        <v>121</v>
      </c>
      <c r="L12" t="s">
        <v>122</v>
      </c>
    </row>
    <row r="13" spans="1:14" x14ac:dyDescent="0.25">
      <c r="A13">
        <v>7</v>
      </c>
      <c r="B13" t="s">
        <v>124</v>
      </c>
      <c r="C13" t="s">
        <v>121</v>
      </c>
      <c r="J13">
        <f t="shared" si="0"/>
        <v>2</v>
      </c>
      <c r="K13" t="s">
        <v>121</v>
      </c>
      <c r="L13" t="s">
        <v>122</v>
      </c>
    </row>
    <row r="14" spans="1:14" x14ac:dyDescent="0.25">
      <c r="A14">
        <v>8</v>
      </c>
      <c r="B14" t="s">
        <v>125</v>
      </c>
      <c r="C14" t="s">
        <v>122</v>
      </c>
      <c r="J14">
        <f t="shared" si="0"/>
        <v>2</v>
      </c>
      <c r="K14" t="s">
        <v>122</v>
      </c>
      <c r="L14" t="s">
        <v>121</v>
      </c>
    </row>
    <row r="15" spans="1:14" x14ac:dyDescent="0.25">
      <c r="A15">
        <v>9</v>
      </c>
      <c r="B15" t="s">
        <v>126</v>
      </c>
      <c r="C15" t="s">
        <v>122</v>
      </c>
      <c r="J15">
        <f t="shared" si="0"/>
        <v>2</v>
      </c>
      <c r="K15" t="s">
        <v>122</v>
      </c>
      <c r="L15" t="s">
        <v>121</v>
      </c>
    </row>
    <row r="16" spans="1:14" x14ac:dyDescent="0.25">
      <c r="A16">
        <v>10</v>
      </c>
      <c r="B16" t="s">
        <v>127</v>
      </c>
      <c r="C16" t="s">
        <v>122</v>
      </c>
      <c r="J16">
        <f t="shared" si="0"/>
        <v>2</v>
      </c>
      <c r="K16" t="s">
        <v>122</v>
      </c>
      <c r="L16" t="s">
        <v>121</v>
      </c>
    </row>
    <row r="17" spans="1:13" x14ac:dyDescent="0.25">
      <c r="A17">
        <v>11</v>
      </c>
      <c r="B17" t="s">
        <v>128</v>
      </c>
      <c r="C17" t="s">
        <v>64</v>
      </c>
      <c r="J17">
        <f t="shared" si="0"/>
        <v>2</v>
      </c>
      <c r="K17" t="s">
        <v>64</v>
      </c>
      <c r="L17" t="s">
        <v>129</v>
      </c>
    </row>
    <row r="18" spans="1:13" x14ac:dyDescent="0.25">
      <c r="A18">
        <v>12</v>
      </c>
      <c r="B18" t="s">
        <v>130</v>
      </c>
      <c r="C18" t="s">
        <v>122</v>
      </c>
      <c r="D18">
        <v>9</v>
      </c>
      <c r="E18" t="s">
        <v>121</v>
      </c>
      <c r="F18">
        <v>81</v>
      </c>
      <c r="G18" t="s">
        <v>121</v>
      </c>
      <c r="J18">
        <f t="shared" si="0"/>
        <v>2</v>
      </c>
      <c r="K18" t="s">
        <v>122</v>
      </c>
      <c r="L18" t="s">
        <v>121</v>
      </c>
    </row>
    <row r="19" spans="1:13" x14ac:dyDescent="0.25">
      <c r="A19">
        <v>13</v>
      </c>
      <c r="B19" t="s">
        <v>131</v>
      </c>
      <c r="C19" t="s">
        <v>122</v>
      </c>
      <c r="D19">
        <v>9</v>
      </c>
      <c r="E19" t="s">
        <v>121</v>
      </c>
      <c r="F19">
        <v>82</v>
      </c>
      <c r="G19" t="s">
        <v>121</v>
      </c>
      <c r="J19">
        <f t="shared" si="0"/>
        <v>2</v>
      </c>
      <c r="K19" t="s">
        <v>122</v>
      </c>
      <c r="L19" t="s">
        <v>121</v>
      </c>
    </row>
    <row r="20" spans="1:13" x14ac:dyDescent="0.25">
      <c r="A20">
        <v>14</v>
      </c>
      <c r="B20" t="s">
        <v>132</v>
      </c>
      <c r="C20" t="s">
        <v>122</v>
      </c>
      <c r="D20">
        <v>9</v>
      </c>
      <c r="E20" t="s">
        <v>121</v>
      </c>
      <c r="F20">
        <v>83</v>
      </c>
      <c r="G20" t="s">
        <v>121</v>
      </c>
      <c r="J20">
        <f t="shared" si="0"/>
        <v>2</v>
      </c>
      <c r="K20" t="s">
        <v>122</v>
      </c>
      <c r="L20" t="s">
        <v>121</v>
      </c>
    </row>
    <row r="21" spans="1:13" x14ac:dyDescent="0.25">
      <c r="A21">
        <v>15</v>
      </c>
      <c r="B21" t="s">
        <v>133</v>
      </c>
      <c r="C21" t="s">
        <v>122</v>
      </c>
      <c r="D21">
        <v>9</v>
      </c>
      <c r="E21" t="s">
        <v>121</v>
      </c>
      <c r="F21">
        <v>84</v>
      </c>
      <c r="G21" t="s">
        <v>121</v>
      </c>
      <c r="J21">
        <f t="shared" si="0"/>
        <v>2</v>
      </c>
      <c r="K21" t="s">
        <v>122</v>
      </c>
      <c r="L21" t="s">
        <v>121</v>
      </c>
    </row>
    <row r="22" spans="1:13" x14ac:dyDescent="0.25">
      <c r="A22">
        <v>16</v>
      </c>
      <c r="B22" t="s">
        <v>134</v>
      </c>
      <c r="C22" t="s">
        <v>122</v>
      </c>
      <c r="D22">
        <v>9</v>
      </c>
      <c r="E22" t="s">
        <v>121</v>
      </c>
      <c r="F22">
        <v>87</v>
      </c>
      <c r="G22" t="s">
        <v>121</v>
      </c>
      <c r="J22">
        <f t="shared" si="0"/>
        <v>2</v>
      </c>
      <c r="K22" t="s">
        <v>122</v>
      </c>
      <c r="L22" t="s">
        <v>121</v>
      </c>
    </row>
    <row r="23" spans="1:13" x14ac:dyDescent="0.25">
      <c r="A23">
        <v>17</v>
      </c>
      <c r="B23" t="s">
        <v>135</v>
      </c>
      <c r="C23" t="s">
        <v>122</v>
      </c>
      <c r="D23">
        <v>9</v>
      </c>
      <c r="E23" t="s">
        <v>121</v>
      </c>
      <c r="F23">
        <v>114</v>
      </c>
      <c r="G23" t="s">
        <v>121</v>
      </c>
      <c r="J23">
        <f t="shared" si="0"/>
        <v>2</v>
      </c>
      <c r="K23" t="s">
        <v>122</v>
      </c>
      <c r="L23" t="s">
        <v>121</v>
      </c>
    </row>
    <row r="24" spans="1:13" x14ac:dyDescent="0.25">
      <c r="A24">
        <v>18</v>
      </c>
      <c r="B24" t="s">
        <v>136</v>
      </c>
      <c r="C24" t="s">
        <v>122</v>
      </c>
      <c r="D24">
        <v>9</v>
      </c>
      <c r="E24" t="s">
        <v>121</v>
      </c>
      <c r="F24">
        <v>101</v>
      </c>
      <c r="G24" t="s">
        <v>121</v>
      </c>
      <c r="H24">
        <v>105</v>
      </c>
      <c r="I24" t="s">
        <v>121</v>
      </c>
      <c r="J24">
        <f t="shared" si="0"/>
        <v>2</v>
      </c>
      <c r="K24" t="s">
        <v>122</v>
      </c>
      <c r="L24" t="s">
        <v>121</v>
      </c>
    </row>
    <row r="25" spans="1:13" x14ac:dyDescent="0.25">
      <c r="A25">
        <v>19</v>
      </c>
      <c r="B25" t="s">
        <v>137</v>
      </c>
      <c r="C25" t="s">
        <v>122</v>
      </c>
      <c r="J25">
        <f t="shared" si="0"/>
        <v>2</v>
      </c>
      <c r="K25" t="s">
        <v>122</v>
      </c>
      <c r="L25" t="s">
        <v>121</v>
      </c>
    </row>
    <row r="26" spans="1:13" x14ac:dyDescent="0.25">
      <c r="A26">
        <v>20</v>
      </c>
      <c r="B26" t="s">
        <v>138</v>
      </c>
      <c r="C26" t="s">
        <v>139</v>
      </c>
      <c r="D26">
        <v>19</v>
      </c>
      <c r="E26" t="s">
        <v>121</v>
      </c>
      <c r="J26">
        <f t="shared" si="0"/>
        <v>3</v>
      </c>
      <c r="K26" t="s">
        <v>139</v>
      </c>
      <c r="L26">
        <v>5</v>
      </c>
      <c r="M26">
        <v>1</v>
      </c>
    </row>
    <row r="27" spans="1:13" x14ac:dyDescent="0.25">
      <c r="A27">
        <v>21</v>
      </c>
      <c r="B27" t="s">
        <v>140</v>
      </c>
      <c r="C27" t="s">
        <v>122</v>
      </c>
      <c r="D27">
        <v>19</v>
      </c>
      <c r="E27" t="s">
        <v>121</v>
      </c>
      <c r="J27">
        <f t="shared" si="0"/>
        <v>2</v>
      </c>
      <c r="K27" t="s">
        <v>122</v>
      </c>
      <c r="L27" t="s">
        <v>121</v>
      </c>
    </row>
    <row r="28" spans="1:13" x14ac:dyDescent="0.25">
      <c r="A28">
        <v>22</v>
      </c>
      <c r="B28" t="s">
        <v>141</v>
      </c>
      <c r="C28" t="s">
        <v>122</v>
      </c>
      <c r="D28">
        <v>19</v>
      </c>
      <c r="E28" t="s">
        <v>121</v>
      </c>
      <c r="J28">
        <f t="shared" si="0"/>
        <v>2</v>
      </c>
      <c r="K28" t="s">
        <v>122</v>
      </c>
      <c r="L28" t="s">
        <v>121</v>
      </c>
    </row>
    <row r="29" spans="1:13" x14ac:dyDescent="0.25">
      <c r="A29">
        <v>23</v>
      </c>
      <c r="B29" t="s">
        <v>142</v>
      </c>
      <c r="C29" t="s">
        <v>143</v>
      </c>
      <c r="D29">
        <v>19</v>
      </c>
      <c r="E29" t="s">
        <v>121</v>
      </c>
      <c r="J29">
        <f t="shared" si="0"/>
        <v>3</v>
      </c>
      <c r="K29" t="s">
        <v>143</v>
      </c>
      <c r="L29" t="s">
        <v>144</v>
      </c>
      <c r="M29" t="s">
        <v>145</v>
      </c>
    </row>
    <row r="30" spans="1:13" x14ac:dyDescent="0.25">
      <c r="A30">
        <v>24</v>
      </c>
      <c r="B30" t="s">
        <v>146</v>
      </c>
      <c r="C30" t="s">
        <v>110</v>
      </c>
      <c r="J30">
        <f t="shared" si="0"/>
        <v>3</v>
      </c>
      <c r="K30">
        <v>1</v>
      </c>
      <c r="L30">
        <v>2</v>
      </c>
      <c r="M30">
        <v>3</v>
      </c>
    </row>
    <row r="31" spans="1:13" x14ac:dyDescent="0.25">
      <c r="A31">
        <v>25</v>
      </c>
      <c r="B31" t="s">
        <v>147</v>
      </c>
      <c r="C31" t="s">
        <v>148</v>
      </c>
      <c r="D31">
        <v>24</v>
      </c>
      <c r="E31" t="s">
        <v>149</v>
      </c>
      <c r="J31">
        <f t="shared" si="0"/>
        <v>3</v>
      </c>
      <c r="K31">
        <v>10</v>
      </c>
      <c r="L31">
        <v>5</v>
      </c>
      <c r="M31">
        <v>20</v>
      </c>
    </row>
    <row r="32" spans="1:13" x14ac:dyDescent="0.25">
      <c r="A32">
        <v>26</v>
      </c>
      <c r="B32" t="s">
        <v>150</v>
      </c>
      <c r="C32" t="s">
        <v>110</v>
      </c>
      <c r="J32">
        <f t="shared" si="0"/>
        <v>3</v>
      </c>
      <c r="K32">
        <v>1</v>
      </c>
      <c r="L32">
        <v>2</v>
      </c>
      <c r="M32">
        <v>3</v>
      </c>
    </row>
    <row r="33" spans="1:13" x14ac:dyDescent="0.25">
      <c r="A33">
        <v>27</v>
      </c>
      <c r="B33" t="s">
        <v>151</v>
      </c>
      <c r="C33" t="s">
        <v>152</v>
      </c>
      <c r="J33">
        <f t="shared" si="0"/>
        <v>3</v>
      </c>
      <c r="K33" t="s">
        <v>153</v>
      </c>
      <c r="L33" t="s">
        <v>152</v>
      </c>
      <c r="M33" t="s">
        <v>154</v>
      </c>
    </row>
    <row r="34" spans="1:13" x14ac:dyDescent="0.25">
      <c r="A34">
        <v>28</v>
      </c>
      <c r="B34" t="s">
        <v>155</v>
      </c>
      <c r="C34" t="s">
        <v>156</v>
      </c>
      <c r="J34">
        <f t="shared" si="0"/>
        <v>3</v>
      </c>
      <c r="K34" t="s">
        <v>156</v>
      </c>
      <c r="L34" t="s">
        <v>122</v>
      </c>
      <c r="M34" t="s">
        <v>121</v>
      </c>
    </row>
    <row r="35" spans="1:13" x14ac:dyDescent="0.25">
      <c r="A35">
        <v>29</v>
      </c>
      <c r="B35" t="s">
        <v>157</v>
      </c>
      <c r="C35" t="s">
        <v>121</v>
      </c>
      <c r="D35">
        <v>27</v>
      </c>
      <c r="E35" t="s">
        <v>152</v>
      </c>
      <c r="J35">
        <f t="shared" si="0"/>
        <v>2</v>
      </c>
      <c r="K35" t="s">
        <v>121</v>
      </c>
      <c r="L35" t="s">
        <v>122</v>
      </c>
    </row>
    <row r="36" spans="1:13" x14ac:dyDescent="0.25">
      <c r="A36">
        <v>30</v>
      </c>
      <c r="B36" t="s">
        <v>158</v>
      </c>
      <c r="C36" t="s">
        <v>121</v>
      </c>
      <c r="D36">
        <v>27</v>
      </c>
      <c r="E36" t="s">
        <v>152</v>
      </c>
      <c r="J36">
        <f t="shared" si="0"/>
        <v>2</v>
      </c>
      <c r="K36" t="s">
        <v>121</v>
      </c>
      <c r="L36" t="s">
        <v>122</v>
      </c>
    </row>
    <row r="37" spans="1:13" x14ac:dyDescent="0.25">
      <c r="A37">
        <v>31</v>
      </c>
      <c r="B37" t="s">
        <v>159</v>
      </c>
      <c r="C37" t="s">
        <v>160</v>
      </c>
      <c r="D37">
        <v>27</v>
      </c>
      <c r="E37" t="s">
        <v>152</v>
      </c>
      <c r="J37">
        <f t="shared" si="0"/>
        <v>3</v>
      </c>
      <c r="K37">
        <v>21</v>
      </c>
      <c r="L37">
        <v>10</v>
      </c>
      <c r="M37">
        <v>50</v>
      </c>
    </row>
    <row r="38" spans="1:13" x14ac:dyDescent="0.25">
      <c r="A38">
        <v>32</v>
      </c>
      <c r="B38" t="s">
        <v>161</v>
      </c>
      <c r="C38" t="s">
        <v>162</v>
      </c>
      <c r="D38">
        <v>27</v>
      </c>
      <c r="E38" t="s">
        <v>152</v>
      </c>
      <c r="J38">
        <f t="shared" si="0"/>
        <v>3</v>
      </c>
      <c r="K38">
        <v>4</v>
      </c>
      <c r="L38">
        <v>2</v>
      </c>
      <c r="M38">
        <v>10</v>
      </c>
    </row>
    <row r="39" spans="1:13" x14ac:dyDescent="0.25">
      <c r="A39">
        <v>33</v>
      </c>
      <c r="B39" t="s">
        <v>163</v>
      </c>
      <c r="C39" t="s">
        <v>164</v>
      </c>
      <c r="D39">
        <v>27</v>
      </c>
      <c r="E39" t="s">
        <v>153</v>
      </c>
      <c r="J39">
        <f t="shared" si="0"/>
        <v>3</v>
      </c>
      <c r="K39">
        <v>14</v>
      </c>
      <c r="L39">
        <v>21</v>
      </c>
      <c r="M39">
        <v>7</v>
      </c>
    </row>
    <row r="40" spans="1:13" x14ac:dyDescent="0.25">
      <c r="A40">
        <v>34</v>
      </c>
      <c r="B40" t="s">
        <v>165</v>
      </c>
      <c r="C40" t="s">
        <v>121</v>
      </c>
      <c r="D40">
        <v>27</v>
      </c>
      <c r="E40" t="s">
        <v>153</v>
      </c>
      <c r="J40">
        <f t="shared" si="0"/>
        <v>2</v>
      </c>
      <c r="K40" t="s">
        <v>121</v>
      </c>
      <c r="L40" t="s">
        <v>122</v>
      </c>
    </row>
    <row r="41" spans="1:13" x14ac:dyDescent="0.25">
      <c r="A41">
        <v>35</v>
      </c>
      <c r="B41" t="s">
        <v>166</v>
      </c>
      <c r="C41" t="s">
        <v>121</v>
      </c>
      <c r="D41">
        <v>27</v>
      </c>
      <c r="E41" t="s">
        <v>153</v>
      </c>
      <c r="J41" t="s">
        <v>113</v>
      </c>
      <c r="K41" t="s">
        <v>121</v>
      </c>
    </row>
    <row r="42" spans="1:13" x14ac:dyDescent="0.25">
      <c r="A42">
        <v>36</v>
      </c>
      <c r="B42" t="s">
        <v>167</v>
      </c>
      <c r="C42" t="s">
        <v>122</v>
      </c>
      <c r="D42">
        <v>27</v>
      </c>
      <c r="E42" t="s">
        <v>153</v>
      </c>
      <c r="J42">
        <f t="shared" ref="J42:J73" si="1">COUNTA(K42:U42)</f>
        <v>2</v>
      </c>
      <c r="K42" t="s">
        <v>122</v>
      </c>
      <c r="L42" t="s">
        <v>121</v>
      </c>
    </row>
    <row r="43" spans="1:13" x14ac:dyDescent="0.25">
      <c r="A43">
        <v>37</v>
      </c>
      <c r="B43" t="s">
        <v>168</v>
      </c>
      <c r="C43" t="s">
        <v>169</v>
      </c>
      <c r="D43">
        <v>27</v>
      </c>
      <c r="E43" t="s">
        <v>153</v>
      </c>
      <c r="J43">
        <f t="shared" si="1"/>
        <v>3</v>
      </c>
      <c r="K43">
        <v>25</v>
      </c>
      <c r="L43">
        <v>30</v>
      </c>
      <c r="M43">
        <v>20</v>
      </c>
    </row>
    <row r="44" spans="1:13" x14ac:dyDescent="0.25">
      <c r="A44">
        <v>38</v>
      </c>
      <c r="B44" t="s">
        <v>170</v>
      </c>
      <c r="C44" t="s">
        <v>171</v>
      </c>
      <c r="D44">
        <v>27</v>
      </c>
      <c r="E44" t="s">
        <v>153</v>
      </c>
      <c r="J44">
        <f t="shared" si="1"/>
        <v>3</v>
      </c>
      <c r="K44">
        <v>20</v>
      </c>
      <c r="L44">
        <v>25</v>
      </c>
      <c r="M44">
        <v>15</v>
      </c>
    </row>
    <row r="45" spans="1:13" x14ac:dyDescent="0.25">
      <c r="A45">
        <v>39</v>
      </c>
      <c r="B45" t="s">
        <v>172</v>
      </c>
      <c r="C45" t="s">
        <v>139</v>
      </c>
      <c r="D45">
        <v>27</v>
      </c>
      <c r="E45" t="s">
        <v>153</v>
      </c>
      <c r="J45">
        <f t="shared" si="1"/>
        <v>3</v>
      </c>
      <c r="K45">
        <v>50</v>
      </c>
      <c r="L45">
        <v>60</v>
      </c>
      <c r="M45">
        <v>40</v>
      </c>
    </row>
    <row r="46" spans="1:13" x14ac:dyDescent="0.25">
      <c r="A46">
        <v>40</v>
      </c>
      <c r="B46" t="s">
        <v>173</v>
      </c>
      <c r="C46" t="s">
        <v>174</v>
      </c>
      <c r="D46">
        <v>27</v>
      </c>
      <c r="E46" t="s">
        <v>153</v>
      </c>
      <c r="J46">
        <f t="shared" si="1"/>
        <v>3</v>
      </c>
      <c r="K46">
        <v>62</v>
      </c>
      <c r="L46">
        <v>55</v>
      </c>
      <c r="M46">
        <v>70</v>
      </c>
    </row>
    <row r="47" spans="1:13" x14ac:dyDescent="0.25">
      <c r="A47">
        <v>41</v>
      </c>
      <c r="B47" t="s">
        <v>175</v>
      </c>
      <c r="C47" t="s">
        <v>176</v>
      </c>
      <c r="D47">
        <v>27</v>
      </c>
      <c r="E47" t="s">
        <v>153</v>
      </c>
      <c r="J47">
        <f t="shared" si="1"/>
        <v>3</v>
      </c>
      <c r="K47">
        <v>30</v>
      </c>
      <c r="L47">
        <v>35</v>
      </c>
      <c r="M47">
        <v>20</v>
      </c>
    </row>
    <row r="48" spans="1:13" x14ac:dyDescent="0.25">
      <c r="A48">
        <v>42</v>
      </c>
      <c r="B48" t="s">
        <v>177</v>
      </c>
      <c r="C48" t="s">
        <v>178</v>
      </c>
      <c r="D48">
        <v>27</v>
      </c>
      <c r="E48" t="s">
        <v>153</v>
      </c>
      <c r="J48">
        <f t="shared" si="1"/>
        <v>3</v>
      </c>
      <c r="K48">
        <v>70</v>
      </c>
      <c r="L48">
        <v>80</v>
      </c>
      <c r="M48">
        <v>60</v>
      </c>
    </row>
    <row r="49" spans="1:14" x14ac:dyDescent="0.25">
      <c r="A49">
        <v>43</v>
      </c>
      <c r="B49" t="s">
        <v>179</v>
      </c>
      <c r="C49" t="s">
        <v>171</v>
      </c>
      <c r="D49">
        <v>27</v>
      </c>
      <c r="E49" t="s">
        <v>153</v>
      </c>
      <c r="J49">
        <f t="shared" si="1"/>
        <v>3</v>
      </c>
      <c r="K49">
        <v>20</v>
      </c>
      <c r="L49">
        <v>25</v>
      </c>
      <c r="M49">
        <v>10</v>
      </c>
    </row>
    <row r="50" spans="1:14" x14ac:dyDescent="0.25">
      <c r="A50">
        <v>44</v>
      </c>
      <c r="B50" t="s">
        <v>180</v>
      </c>
      <c r="C50" t="s">
        <v>181</v>
      </c>
      <c r="D50">
        <v>27</v>
      </c>
      <c r="E50" t="s">
        <v>153</v>
      </c>
      <c r="J50">
        <f t="shared" si="1"/>
        <v>3</v>
      </c>
      <c r="K50">
        <v>2</v>
      </c>
      <c r="L50">
        <v>3</v>
      </c>
      <c r="M50">
        <v>1</v>
      </c>
    </row>
    <row r="51" spans="1:14" x14ac:dyDescent="0.25">
      <c r="A51">
        <v>45</v>
      </c>
      <c r="B51" t="s">
        <v>182</v>
      </c>
      <c r="C51" t="s">
        <v>162</v>
      </c>
      <c r="J51">
        <f t="shared" si="1"/>
        <v>3</v>
      </c>
      <c r="K51">
        <v>4</v>
      </c>
      <c r="L51">
        <v>5</v>
      </c>
      <c r="M51">
        <v>2</v>
      </c>
    </row>
    <row r="52" spans="1:14" x14ac:dyDescent="0.25">
      <c r="A52">
        <v>46</v>
      </c>
      <c r="B52" t="s">
        <v>183</v>
      </c>
      <c r="C52" t="s">
        <v>184</v>
      </c>
      <c r="J52">
        <f t="shared" si="1"/>
        <v>3</v>
      </c>
      <c r="K52">
        <v>3</v>
      </c>
      <c r="L52">
        <v>5</v>
      </c>
      <c r="M52">
        <v>2</v>
      </c>
    </row>
    <row r="53" spans="1:14" x14ac:dyDescent="0.25">
      <c r="A53">
        <v>47</v>
      </c>
      <c r="B53" t="s">
        <v>185</v>
      </c>
      <c r="C53" t="s">
        <v>186</v>
      </c>
      <c r="J53">
        <f t="shared" si="1"/>
        <v>3</v>
      </c>
      <c r="K53">
        <v>5</v>
      </c>
      <c r="L53">
        <v>100</v>
      </c>
      <c r="M53">
        <v>20</v>
      </c>
    </row>
    <row r="54" spans="1:14" x14ac:dyDescent="0.25">
      <c r="A54">
        <v>48</v>
      </c>
      <c r="B54" t="s">
        <v>187</v>
      </c>
      <c r="C54" t="s">
        <v>122</v>
      </c>
      <c r="J54">
        <f t="shared" si="1"/>
        <v>2</v>
      </c>
      <c r="K54" s="1" t="s">
        <v>122</v>
      </c>
      <c r="L54" t="s">
        <v>121</v>
      </c>
    </row>
    <row r="55" spans="1:14" x14ac:dyDescent="0.25">
      <c r="A55">
        <v>49</v>
      </c>
      <c r="B55" t="s">
        <v>188</v>
      </c>
      <c r="C55" t="s">
        <v>186</v>
      </c>
      <c r="D55">
        <v>48</v>
      </c>
      <c r="E55" t="s">
        <v>121</v>
      </c>
      <c r="J55">
        <f t="shared" si="1"/>
        <v>3</v>
      </c>
      <c r="K55">
        <v>5</v>
      </c>
      <c r="L55">
        <v>10</v>
      </c>
      <c r="M55">
        <v>20</v>
      </c>
    </row>
    <row r="56" spans="1:14" x14ac:dyDescent="0.25">
      <c r="A56">
        <v>50</v>
      </c>
      <c r="B56" t="s">
        <v>189</v>
      </c>
      <c r="C56" t="s">
        <v>122</v>
      </c>
      <c r="J56">
        <f t="shared" si="1"/>
        <v>2</v>
      </c>
      <c r="K56" s="1" t="s">
        <v>122</v>
      </c>
      <c r="L56" t="s">
        <v>121</v>
      </c>
    </row>
    <row r="57" spans="1:14" x14ac:dyDescent="0.25">
      <c r="A57">
        <v>51</v>
      </c>
      <c r="B57" t="s">
        <v>190</v>
      </c>
      <c r="C57" t="s">
        <v>186</v>
      </c>
      <c r="D57">
        <v>50</v>
      </c>
      <c r="E57" t="s">
        <v>121</v>
      </c>
      <c r="J57">
        <f t="shared" si="1"/>
        <v>3</v>
      </c>
      <c r="K57">
        <v>5</v>
      </c>
      <c r="L57">
        <v>3</v>
      </c>
      <c r="M57">
        <v>10</v>
      </c>
    </row>
    <row r="58" spans="1:14" x14ac:dyDescent="0.25">
      <c r="A58">
        <v>52</v>
      </c>
      <c r="B58" t="s">
        <v>191</v>
      </c>
      <c r="C58" t="s">
        <v>186</v>
      </c>
      <c r="J58">
        <f t="shared" si="1"/>
        <v>3</v>
      </c>
      <c r="K58">
        <v>5</v>
      </c>
      <c r="L58">
        <v>100</v>
      </c>
      <c r="M58">
        <v>20</v>
      </c>
    </row>
    <row r="59" spans="1:14" x14ac:dyDescent="0.25">
      <c r="A59">
        <v>53</v>
      </c>
      <c r="B59" t="s">
        <v>192</v>
      </c>
      <c r="C59" t="s">
        <v>193</v>
      </c>
      <c r="J59">
        <f t="shared" si="1"/>
        <v>2</v>
      </c>
      <c r="K59" s="1" t="s">
        <v>193</v>
      </c>
      <c r="L59" t="s">
        <v>194</v>
      </c>
    </row>
    <row r="60" spans="1:14" x14ac:dyDescent="0.25">
      <c r="A60">
        <v>54</v>
      </c>
      <c r="B60" t="s">
        <v>195</v>
      </c>
      <c r="C60" t="s">
        <v>122</v>
      </c>
      <c r="J60">
        <f t="shared" si="1"/>
        <v>2</v>
      </c>
      <c r="K60" s="1" t="s">
        <v>122</v>
      </c>
      <c r="L60" t="s">
        <v>121</v>
      </c>
    </row>
    <row r="61" spans="1:14" x14ac:dyDescent="0.25">
      <c r="A61">
        <v>55</v>
      </c>
      <c r="B61" t="s">
        <v>196</v>
      </c>
      <c r="C61" t="s">
        <v>197</v>
      </c>
      <c r="D61">
        <v>62</v>
      </c>
      <c r="E61" t="s">
        <v>121</v>
      </c>
      <c r="J61">
        <f t="shared" si="1"/>
        <v>4</v>
      </c>
      <c r="K61" s="1" t="s">
        <v>197</v>
      </c>
      <c r="L61" t="s">
        <v>198</v>
      </c>
      <c r="M61" t="s">
        <v>199</v>
      </c>
      <c r="N61" t="s">
        <v>200</v>
      </c>
    </row>
    <row r="62" spans="1:14" x14ac:dyDescent="0.25">
      <c r="A62">
        <v>56</v>
      </c>
      <c r="B62" t="s">
        <v>201</v>
      </c>
      <c r="C62" t="s">
        <v>202</v>
      </c>
      <c r="D62">
        <v>62</v>
      </c>
      <c r="E62" t="s">
        <v>121</v>
      </c>
      <c r="F62">
        <v>55</v>
      </c>
      <c r="G62" t="s">
        <v>199</v>
      </c>
      <c r="J62">
        <f t="shared" si="1"/>
        <v>2</v>
      </c>
      <c r="K62" s="1" t="s">
        <v>202</v>
      </c>
      <c r="L62" t="s">
        <v>203</v>
      </c>
    </row>
    <row r="63" spans="1:14" x14ac:dyDescent="0.25">
      <c r="A63">
        <v>57</v>
      </c>
      <c r="B63" t="s">
        <v>204</v>
      </c>
      <c r="C63" t="s">
        <v>171</v>
      </c>
      <c r="D63">
        <v>62</v>
      </c>
      <c r="E63" t="s">
        <v>121</v>
      </c>
      <c r="F63">
        <v>55</v>
      </c>
      <c r="G63" t="s">
        <v>199</v>
      </c>
      <c r="J63">
        <f t="shared" si="1"/>
        <v>3</v>
      </c>
      <c r="K63">
        <v>20</v>
      </c>
      <c r="L63">
        <v>5</v>
      </c>
      <c r="M63">
        <v>50</v>
      </c>
    </row>
    <row r="64" spans="1:14" x14ac:dyDescent="0.25">
      <c r="A64">
        <v>58</v>
      </c>
      <c r="B64" t="s">
        <v>205</v>
      </c>
      <c r="C64" t="s">
        <v>110</v>
      </c>
      <c r="D64">
        <v>55</v>
      </c>
      <c r="E64" t="s">
        <v>198</v>
      </c>
      <c r="F64">
        <v>62</v>
      </c>
      <c r="G64" t="s">
        <v>121</v>
      </c>
      <c r="J64">
        <f t="shared" si="1"/>
        <v>3</v>
      </c>
      <c r="K64">
        <v>1</v>
      </c>
      <c r="L64">
        <v>0.5</v>
      </c>
      <c r="M64">
        <v>3</v>
      </c>
    </row>
    <row r="65" spans="1:13" x14ac:dyDescent="0.25">
      <c r="A65">
        <v>59</v>
      </c>
      <c r="B65" t="s">
        <v>206</v>
      </c>
      <c r="C65" t="s">
        <v>197</v>
      </c>
      <c r="D65">
        <v>63</v>
      </c>
      <c r="E65" t="s">
        <v>121</v>
      </c>
      <c r="F65">
        <v>65</v>
      </c>
      <c r="G65" t="s">
        <v>122</v>
      </c>
      <c r="J65">
        <f t="shared" si="1"/>
        <v>3</v>
      </c>
      <c r="K65" s="1" t="s">
        <v>197</v>
      </c>
      <c r="L65" t="s">
        <v>198</v>
      </c>
      <c r="M65" t="s">
        <v>207</v>
      </c>
    </row>
    <row r="66" spans="1:13" x14ac:dyDescent="0.25">
      <c r="A66">
        <v>60</v>
      </c>
      <c r="B66" t="s">
        <v>208</v>
      </c>
      <c r="C66" t="s">
        <v>181</v>
      </c>
      <c r="D66">
        <v>59</v>
      </c>
      <c r="E66" t="s">
        <v>198</v>
      </c>
      <c r="F66">
        <v>63</v>
      </c>
      <c r="G66" t="s">
        <v>121</v>
      </c>
      <c r="H66">
        <v>65</v>
      </c>
      <c r="I66" t="s">
        <v>122</v>
      </c>
      <c r="J66">
        <f t="shared" si="1"/>
        <v>3</v>
      </c>
      <c r="K66">
        <v>2</v>
      </c>
      <c r="L66">
        <v>1</v>
      </c>
      <c r="M66">
        <v>5</v>
      </c>
    </row>
    <row r="67" spans="1:13" x14ac:dyDescent="0.25">
      <c r="A67">
        <v>61</v>
      </c>
      <c r="B67" t="s">
        <v>209</v>
      </c>
      <c r="C67" t="s">
        <v>181</v>
      </c>
      <c r="D67">
        <v>59</v>
      </c>
      <c r="E67" t="s">
        <v>207</v>
      </c>
      <c r="F67">
        <v>63</v>
      </c>
      <c r="G67" t="s">
        <v>121</v>
      </c>
      <c r="H67">
        <v>65</v>
      </c>
      <c r="I67" t="s">
        <v>122</v>
      </c>
      <c r="J67">
        <f t="shared" si="1"/>
        <v>3</v>
      </c>
      <c r="K67">
        <v>2</v>
      </c>
      <c r="L67">
        <v>1</v>
      </c>
      <c r="M67">
        <v>3</v>
      </c>
    </row>
    <row r="68" spans="1:13" x14ac:dyDescent="0.25">
      <c r="A68">
        <v>62</v>
      </c>
      <c r="B68" t="s">
        <v>210</v>
      </c>
      <c r="C68" t="s">
        <v>121</v>
      </c>
      <c r="J68">
        <f t="shared" si="1"/>
        <v>2</v>
      </c>
      <c r="K68" s="1" t="s">
        <v>121</v>
      </c>
      <c r="L68" t="s">
        <v>122</v>
      </c>
    </row>
    <row r="69" spans="1:13" x14ac:dyDescent="0.25">
      <c r="A69">
        <v>63</v>
      </c>
      <c r="B69" t="s">
        <v>211</v>
      </c>
      <c r="C69" t="s">
        <v>121</v>
      </c>
      <c r="J69">
        <f t="shared" si="1"/>
        <v>2</v>
      </c>
      <c r="K69" s="1" t="s">
        <v>121</v>
      </c>
      <c r="L69" t="s">
        <v>122</v>
      </c>
    </row>
    <row r="70" spans="1:13" x14ac:dyDescent="0.25">
      <c r="A70">
        <v>64</v>
      </c>
      <c r="B70" t="s">
        <v>212</v>
      </c>
      <c r="C70" t="s">
        <v>121</v>
      </c>
      <c r="J70">
        <f t="shared" si="1"/>
        <v>2</v>
      </c>
      <c r="K70" s="1" t="s">
        <v>121</v>
      </c>
      <c r="L70" t="s">
        <v>122</v>
      </c>
    </row>
    <row r="71" spans="1:13" x14ac:dyDescent="0.25">
      <c r="A71">
        <v>65</v>
      </c>
      <c r="B71" t="s">
        <v>213</v>
      </c>
      <c r="C71" t="s">
        <v>121</v>
      </c>
      <c r="D71">
        <v>63</v>
      </c>
      <c r="E71" t="s">
        <v>121</v>
      </c>
      <c r="J71">
        <f t="shared" si="1"/>
        <v>2</v>
      </c>
      <c r="K71" s="1" t="s">
        <v>121</v>
      </c>
      <c r="L71" t="s">
        <v>122</v>
      </c>
    </row>
    <row r="72" spans="1:13" x14ac:dyDescent="0.25">
      <c r="A72">
        <v>66</v>
      </c>
      <c r="B72" t="s">
        <v>214</v>
      </c>
      <c r="C72" t="s">
        <v>215</v>
      </c>
      <c r="D72">
        <v>63</v>
      </c>
      <c r="E72" t="s">
        <v>121</v>
      </c>
      <c r="F72">
        <v>65</v>
      </c>
      <c r="G72" t="s">
        <v>121</v>
      </c>
      <c r="J72">
        <f t="shared" si="1"/>
        <v>3</v>
      </c>
      <c r="K72" s="1">
        <v>5.5</v>
      </c>
      <c r="L72">
        <v>3</v>
      </c>
      <c r="M72">
        <v>8</v>
      </c>
    </row>
    <row r="73" spans="1:13" x14ac:dyDescent="0.25">
      <c r="A73">
        <v>67</v>
      </c>
      <c r="B73" t="s">
        <v>216</v>
      </c>
      <c r="C73" t="s">
        <v>164</v>
      </c>
      <c r="D73">
        <v>62</v>
      </c>
      <c r="E73" t="s">
        <v>121</v>
      </c>
      <c r="F73">
        <v>55</v>
      </c>
      <c r="G73" t="s">
        <v>199</v>
      </c>
      <c r="J73">
        <f t="shared" si="1"/>
        <v>3</v>
      </c>
      <c r="K73">
        <v>14</v>
      </c>
      <c r="L73">
        <v>7</v>
      </c>
      <c r="M73">
        <v>21</v>
      </c>
    </row>
    <row r="74" spans="1:13" x14ac:dyDescent="0.25">
      <c r="A74">
        <v>68</v>
      </c>
      <c r="B74" t="s">
        <v>217</v>
      </c>
      <c r="C74" t="s">
        <v>218</v>
      </c>
      <c r="D74">
        <v>62</v>
      </c>
      <c r="E74" t="s">
        <v>121</v>
      </c>
      <c r="F74">
        <v>55</v>
      </c>
      <c r="G74" t="s">
        <v>199</v>
      </c>
      <c r="J74">
        <f t="shared" ref="J74:J105" si="2">COUNTA(K74:U74)</f>
        <v>3</v>
      </c>
      <c r="K74" s="1">
        <v>0.5</v>
      </c>
      <c r="L74">
        <v>0.25</v>
      </c>
      <c r="M74">
        <v>1</v>
      </c>
    </row>
    <row r="75" spans="1:13" x14ac:dyDescent="0.25">
      <c r="A75">
        <v>69</v>
      </c>
      <c r="B75" t="s">
        <v>219</v>
      </c>
      <c r="C75" t="s">
        <v>164</v>
      </c>
      <c r="D75">
        <v>62</v>
      </c>
      <c r="E75" t="s">
        <v>121</v>
      </c>
      <c r="F75">
        <v>55</v>
      </c>
      <c r="G75" t="s">
        <v>197</v>
      </c>
      <c r="J75">
        <f t="shared" si="2"/>
        <v>3</v>
      </c>
      <c r="K75">
        <v>14</v>
      </c>
      <c r="L75">
        <v>7</v>
      </c>
      <c r="M75">
        <v>21</v>
      </c>
    </row>
    <row r="76" spans="1:13" x14ac:dyDescent="0.25">
      <c r="A76">
        <v>70</v>
      </c>
      <c r="B76" t="s">
        <v>220</v>
      </c>
      <c r="C76" t="s">
        <v>162</v>
      </c>
      <c r="D76">
        <v>62</v>
      </c>
      <c r="E76" t="s">
        <v>121</v>
      </c>
      <c r="F76">
        <v>55</v>
      </c>
      <c r="G76" t="s">
        <v>197</v>
      </c>
      <c r="J76">
        <f t="shared" si="2"/>
        <v>3</v>
      </c>
      <c r="K76">
        <v>4</v>
      </c>
      <c r="L76">
        <v>2</v>
      </c>
      <c r="M76">
        <v>6</v>
      </c>
    </row>
    <row r="77" spans="1:13" x14ac:dyDescent="0.25">
      <c r="A77">
        <v>71</v>
      </c>
      <c r="B77" t="s">
        <v>221</v>
      </c>
      <c r="C77" t="s">
        <v>164</v>
      </c>
      <c r="D77">
        <v>59</v>
      </c>
      <c r="E77" t="s">
        <v>197</v>
      </c>
      <c r="F77">
        <v>63</v>
      </c>
      <c r="G77" t="s">
        <v>121</v>
      </c>
      <c r="H77">
        <v>65</v>
      </c>
      <c r="I77" t="s">
        <v>122</v>
      </c>
      <c r="J77">
        <f t="shared" si="2"/>
        <v>3</v>
      </c>
      <c r="K77">
        <v>14</v>
      </c>
      <c r="L77">
        <v>7</v>
      </c>
      <c r="M77">
        <v>21</v>
      </c>
    </row>
    <row r="78" spans="1:13" x14ac:dyDescent="0.25">
      <c r="A78">
        <v>72</v>
      </c>
      <c r="B78" t="s">
        <v>222</v>
      </c>
      <c r="C78" t="s">
        <v>184</v>
      </c>
      <c r="D78">
        <v>59</v>
      </c>
      <c r="E78" t="s">
        <v>197</v>
      </c>
      <c r="F78">
        <v>63</v>
      </c>
      <c r="G78" t="s">
        <v>121</v>
      </c>
      <c r="H78">
        <v>65</v>
      </c>
      <c r="I78" t="s">
        <v>122</v>
      </c>
      <c r="J78">
        <f t="shared" si="2"/>
        <v>3</v>
      </c>
      <c r="K78">
        <v>3</v>
      </c>
      <c r="L78">
        <v>1.5</v>
      </c>
      <c r="M78">
        <v>5</v>
      </c>
    </row>
    <row r="79" spans="1:13" x14ac:dyDescent="0.25">
      <c r="A79">
        <v>73</v>
      </c>
      <c r="B79" t="s">
        <v>223</v>
      </c>
      <c r="C79" t="s">
        <v>110</v>
      </c>
      <c r="D79">
        <v>64</v>
      </c>
      <c r="E79" t="s">
        <v>121</v>
      </c>
      <c r="J79">
        <f t="shared" si="2"/>
        <v>3</v>
      </c>
      <c r="K79">
        <v>1</v>
      </c>
      <c r="L79">
        <v>0.5</v>
      </c>
      <c r="M79">
        <v>2</v>
      </c>
    </row>
    <row r="80" spans="1:13" x14ac:dyDescent="0.25">
      <c r="A80">
        <v>74</v>
      </c>
      <c r="B80" t="s">
        <v>224</v>
      </c>
      <c r="C80" t="s">
        <v>117</v>
      </c>
      <c r="D80">
        <v>64</v>
      </c>
      <c r="E80" t="s">
        <v>121</v>
      </c>
      <c r="J80">
        <f t="shared" si="2"/>
        <v>3</v>
      </c>
      <c r="K80" s="1">
        <v>0.1</v>
      </c>
      <c r="L80">
        <v>0</v>
      </c>
      <c r="M80">
        <v>0.5</v>
      </c>
    </row>
    <row r="81" spans="1:14" x14ac:dyDescent="0.25">
      <c r="A81">
        <v>75</v>
      </c>
      <c r="B81" t="s">
        <v>225</v>
      </c>
      <c r="C81" t="s">
        <v>184</v>
      </c>
      <c r="D81">
        <v>63</v>
      </c>
      <c r="E81" t="s">
        <v>121</v>
      </c>
      <c r="F81">
        <v>65</v>
      </c>
      <c r="G81" t="s">
        <v>121</v>
      </c>
      <c r="J81">
        <f t="shared" si="2"/>
        <v>3</v>
      </c>
      <c r="K81">
        <v>3</v>
      </c>
      <c r="L81">
        <v>2</v>
      </c>
      <c r="M81">
        <v>5</v>
      </c>
    </row>
    <row r="82" spans="1:14" x14ac:dyDescent="0.25">
      <c r="A82">
        <v>76</v>
      </c>
      <c r="B82" t="s">
        <v>226</v>
      </c>
      <c r="C82" t="s">
        <v>139</v>
      </c>
      <c r="D82">
        <v>63</v>
      </c>
      <c r="E82" t="s">
        <v>121</v>
      </c>
      <c r="F82">
        <v>65</v>
      </c>
      <c r="G82" t="s">
        <v>121</v>
      </c>
      <c r="J82">
        <f t="shared" si="2"/>
        <v>3</v>
      </c>
      <c r="K82">
        <v>50</v>
      </c>
      <c r="L82">
        <v>25</v>
      </c>
      <c r="M82">
        <v>75</v>
      </c>
    </row>
    <row r="83" spans="1:14" x14ac:dyDescent="0.25">
      <c r="A83">
        <v>77</v>
      </c>
      <c r="B83" t="s">
        <v>227</v>
      </c>
      <c r="C83" t="s">
        <v>121</v>
      </c>
      <c r="J83">
        <f t="shared" si="2"/>
        <v>2</v>
      </c>
      <c r="K83" s="1" t="s">
        <v>121</v>
      </c>
      <c r="L83" t="s">
        <v>122</v>
      </c>
    </row>
    <row r="84" spans="1:14" x14ac:dyDescent="0.25">
      <c r="A84">
        <v>78</v>
      </c>
      <c r="B84" t="s">
        <v>228</v>
      </c>
      <c r="C84" t="s">
        <v>164</v>
      </c>
      <c r="D84">
        <v>77</v>
      </c>
      <c r="E84" t="s">
        <v>121</v>
      </c>
      <c r="J84">
        <f t="shared" si="2"/>
        <v>3</v>
      </c>
      <c r="K84">
        <v>14</v>
      </c>
      <c r="L84">
        <v>7</v>
      </c>
      <c r="M84">
        <v>21</v>
      </c>
    </row>
    <row r="85" spans="1:14" x14ac:dyDescent="0.25">
      <c r="A85">
        <v>79</v>
      </c>
      <c r="B85" t="s">
        <v>229</v>
      </c>
      <c r="C85" t="s">
        <v>230</v>
      </c>
      <c r="D85">
        <v>77</v>
      </c>
      <c r="E85" t="s">
        <v>121</v>
      </c>
      <c r="J85">
        <f t="shared" si="2"/>
        <v>3</v>
      </c>
      <c r="K85" s="1">
        <v>2.5</v>
      </c>
      <c r="L85">
        <v>1</v>
      </c>
      <c r="M85">
        <v>4</v>
      </c>
    </row>
    <row r="86" spans="1:14" x14ac:dyDescent="0.25">
      <c r="A86">
        <v>80</v>
      </c>
      <c r="B86" t="s">
        <v>231</v>
      </c>
      <c r="C86" t="s">
        <v>181</v>
      </c>
      <c r="D86">
        <v>77</v>
      </c>
      <c r="E86" t="s">
        <v>121</v>
      </c>
      <c r="J86">
        <f t="shared" si="2"/>
        <v>3</v>
      </c>
      <c r="K86">
        <v>2</v>
      </c>
      <c r="L86">
        <v>1</v>
      </c>
      <c r="M86">
        <v>3</v>
      </c>
    </row>
    <row r="87" spans="1:14" x14ac:dyDescent="0.25">
      <c r="A87">
        <v>81</v>
      </c>
      <c r="B87" t="s">
        <v>232</v>
      </c>
      <c r="C87" t="s">
        <v>122</v>
      </c>
      <c r="J87">
        <f t="shared" si="2"/>
        <v>2</v>
      </c>
      <c r="K87" s="1" t="s">
        <v>122</v>
      </c>
      <c r="L87" t="s">
        <v>121</v>
      </c>
    </row>
    <row r="88" spans="1:14" x14ac:dyDescent="0.25">
      <c r="A88">
        <v>82</v>
      </c>
      <c r="B88" t="s">
        <v>233</v>
      </c>
      <c r="C88" t="s">
        <v>122</v>
      </c>
      <c r="J88">
        <f t="shared" si="2"/>
        <v>2</v>
      </c>
      <c r="K88" s="1" t="s">
        <v>122</v>
      </c>
      <c r="L88" t="s">
        <v>121</v>
      </c>
    </row>
    <row r="89" spans="1:14" x14ac:dyDescent="0.25">
      <c r="A89">
        <v>83</v>
      </c>
      <c r="B89" t="s">
        <v>234</v>
      </c>
      <c r="C89" t="s">
        <v>122</v>
      </c>
      <c r="J89">
        <f t="shared" si="2"/>
        <v>2</v>
      </c>
      <c r="K89" s="1" t="s">
        <v>122</v>
      </c>
      <c r="L89" t="s">
        <v>121</v>
      </c>
    </row>
    <row r="90" spans="1:14" x14ac:dyDescent="0.25">
      <c r="A90">
        <v>84</v>
      </c>
      <c r="B90" t="s">
        <v>235</v>
      </c>
      <c r="C90" t="s">
        <v>122</v>
      </c>
      <c r="J90">
        <f t="shared" si="2"/>
        <v>2</v>
      </c>
      <c r="K90" s="1" t="s">
        <v>122</v>
      </c>
      <c r="L90" t="s">
        <v>121</v>
      </c>
    </row>
    <row r="91" spans="1:14" x14ac:dyDescent="0.25">
      <c r="A91">
        <v>85</v>
      </c>
      <c r="B91" t="s">
        <v>236</v>
      </c>
      <c r="C91" t="s">
        <v>237</v>
      </c>
      <c r="D91">
        <v>84</v>
      </c>
      <c r="E91" t="s">
        <v>121</v>
      </c>
      <c r="J91">
        <f t="shared" si="2"/>
        <v>3</v>
      </c>
      <c r="K91">
        <v>100</v>
      </c>
      <c r="L91">
        <v>50</v>
      </c>
      <c r="M91">
        <v>200</v>
      </c>
    </row>
    <row r="92" spans="1:14" x14ac:dyDescent="0.25">
      <c r="A92">
        <v>86</v>
      </c>
      <c r="B92" t="s">
        <v>238</v>
      </c>
      <c r="C92" t="s">
        <v>117</v>
      </c>
      <c r="D92">
        <v>84</v>
      </c>
      <c r="E92" t="s">
        <v>121</v>
      </c>
      <c r="J92">
        <f t="shared" si="2"/>
        <v>3</v>
      </c>
      <c r="K92" s="1">
        <v>0.1</v>
      </c>
      <c r="L92">
        <v>0</v>
      </c>
      <c r="M92">
        <v>0.5</v>
      </c>
    </row>
    <row r="93" spans="1:14" x14ac:dyDescent="0.25">
      <c r="A93">
        <v>87</v>
      </c>
      <c r="B93" t="s">
        <v>239</v>
      </c>
      <c r="C93" t="s">
        <v>122</v>
      </c>
      <c r="J93">
        <f t="shared" si="2"/>
        <v>2</v>
      </c>
      <c r="K93" s="1" t="s">
        <v>121</v>
      </c>
      <c r="L93" t="s">
        <v>122</v>
      </c>
    </row>
    <row r="94" spans="1:14" x14ac:dyDescent="0.25">
      <c r="A94">
        <v>88</v>
      </c>
      <c r="B94" t="s">
        <v>240</v>
      </c>
      <c r="C94" t="s">
        <v>241</v>
      </c>
      <c r="D94">
        <v>81</v>
      </c>
      <c r="E94" t="s">
        <v>121</v>
      </c>
      <c r="J94">
        <f t="shared" si="2"/>
        <v>4</v>
      </c>
      <c r="K94" s="1" t="s">
        <v>241</v>
      </c>
      <c r="L94" t="s">
        <v>242</v>
      </c>
      <c r="M94" t="s">
        <v>243</v>
      </c>
      <c r="N94" t="s">
        <v>244</v>
      </c>
    </row>
    <row r="95" spans="1:14" x14ac:dyDescent="0.25">
      <c r="A95">
        <v>89</v>
      </c>
      <c r="B95" t="s">
        <v>245</v>
      </c>
      <c r="C95" t="s">
        <v>246</v>
      </c>
      <c r="D95">
        <v>81</v>
      </c>
      <c r="E95" t="s">
        <v>121</v>
      </c>
      <c r="J95">
        <f t="shared" si="2"/>
        <v>3</v>
      </c>
      <c r="K95">
        <v>200</v>
      </c>
      <c r="L95">
        <v>100</v>
      </c>
      <c r="M95">
        <v>50</v>
      </c>
    </row>
    <row r="96" spans="1:14" x14ac:dyDescent="0.25">
      <c r="A96">
        <v>90</v>
      </c>
      <c r="B96" t="s">
        <v>247</v>
      </c>
      <c r="C96" t="s">
        <v>246</v>
      </c>
      <c r="D96">
        <v>82</v>
      </c>
      <c r="E96" t="s">
        <v>121</v>
      </c>
      <c r="J96">
        <f t="shared" si="2"/>
        <v>3</v>
      </c>
      <c r="K96">
        <v>200</v>
      </c>
      <c r="L96">
        <v>100</v>
      </c>
      <c r="M96">
        <v>50</v>
      </c>
    </row>
    <row r="97" spans="1:14" x14ac:dyDescent="0.25">
      <c r="A97">
        <v>91</v>
      </c>
      <c r="B97" t="s">
        <v>248</v>
      </c>
      <c r="C97" t="s">
        <v>249</v>
      </c>
      <c r="D97">
        <v>82</v>
      </c>
      <c r="E97" t="s">
        <v>121</v>
      </c>
      <c r="J97">
        <f t="shared" si="2"/>
        <v>3</v>
      </c>
      <c r="K97" s="1">
        <v>5.0000000000000001E-3</v>
      </c>
      <c r="L97">
        <v>1E-3</v>
      </c>
      <c r="M97">
        <v>0.01</v>
      </c>
    </row>
    <row r="98" spans="1:14" x14ac:dyDescent="0.25">
      <c r="A98">
        <v>92</v>
      </c>
      <c r="B98" t="s">
        <v>250</v>
      </c>
      <c r="C98" t="s">
        <v>122</v>
      </c>
      <c r="D98">
        <v>81</v>
      </c>
      <c r="E98" t="s">
        <v>121</v>
      </c>
      <c r="J98">
        <f t="shared" si="2"/>
        <v>2</v>
      </c>
      <c r="K98" s="1" t="s">
        <v>122</v>
      </c>
      <c r="L98" t="s">
        <v>121</v>
      </c>
    </row>
    <row r="99" spans="1:14" x14ac:dyDescent="0.25">
      <c r="A99">
        <v>93</v>
      </c>
      <c r="B99" t="s">
        <v>251</v>
      </c>
      <c r="C99" t="s">
        <v>252</v>
      </c>
      <c r="D99">
        <v>81</v>
      </c>
      <c r="E99" t="s">
        <v>121</v>
      </c>
      <c r="F99">
        <v>92</v>
      </c>
      <c r="G99" t="s">
        <v>121</v>
      </c>
      <c r="J99">
        <f t="shared" si="2"/>
        <v>3</v>
      </c>
      <c r="K99" t="s">
        <v>252</v>
      </c>
      <c r="L99" t="s">
        <v>253</v>
      </c>
      <c r="M99" t="s">
        <v>254</v>
      </c>
    </row>
    <row r="100" spans="1:14" x14ac:dyDescent="0.25">
      <c r="A100">
        <v>94</v>
      </c>
      <c r="B100" t="s">
        <v>255</v>
      </c>
      <c r="C100" t="s">
        <v>186</v>
      </c>
      <c r="D100">
        <v>83</v>
      </c>
      <c r="E100" t="s">
        <v>121</v>
      </c>
      <c r="J100">
        <f t="shared" si="2"/>
        <v>3</v>
      </c>
      <c r="K100">
        <v>5</v>
      </c>
      <c r="L100">
        <v>3</v>
      </c>
      <c r="M100">
        <v>10</v>
      </c>
    </row>
    <row r="101" spans="1:14" x14ac:dyDescent="0.25">
      <c r="A101">
        <v>95</v>
      </c>
      <c r="B101" t="s">
        <v>256</v>
      </c>
      <c r="C101" t="s">
        <v>122</v>
      </c>
      <c r="D101">
        <v>83</v>
      </c>
      <c r="E101" t="s">
        <v>121</v>
      </c>
      <c r="J101">
        <f t="shared" si="2"/>
        <v>2</v>
      </c>
      <c r="K101" s="1" t="s">
        <v>122</v>
      </c>
      <c r="L101" t="s">
        <v>121</v>
      </c>
    </row>
    <row r="102" spans="1:14" x14ac:dyDescent="0.25">
      <c r="A102">
        <v>96</v>
      </c>
      <c r="B102" t="s">
        <v>257</v>
      </c>
      <c r="C102" t="s">
        <v>252</v>
      </c>
      <c r="D102">
        <v>83</v>
      </c>
      <c r="E102" t="s">
        <v>121</v>
      </c>
      <c r="F102">
        <v>95</v>
      </c>
      <c r="G102" t="s">
        <v>121</v>
      </c>
      <c r="J102">
        <f t="shared" si="2"/>
        <v>3</v>
      </c>
      <c r="K102" t="s">
        <v>252</v>
      </c>
      <c r="L102" t="s">
        <v>253</v>
      </c>
      <c r="M102" t="s">
        <v>254</v>
      </c>
    </row>
    <row r="103" spans="1:14" x14ac:dyDescent="0.25">
      <c r="A103">
        <v>97</v>
      </c>
      <c r="B103" t="s">
        <v>258</v>
      </c>
      <c r="C103" t="s">
        <v>253</v>
      </c>
      <c r="D103">
        <v>84</v>
      </c>
      <c r="E103" t="s">
        <v>121</v>
      </c>
      <c r="J103">
        <f t="shared" si="2"/>
        <v>3</v>
      </c>
      <c r="K103" t="s">
        <v>253</v>
      </c>
      <c r="L103" t="s">
        <v>252</v>
      </c>
      <c r="M103" t="s">
        <v>259</v>
      </c>
    </row>
    <row r="104" spans="1:14" x14ac:dyDescent="0.25">
      <c r="A104">
        <v>98</v>
      </c>
      <c r="B104" t="s">
        <v>260</v>
      </c>
      <c r="C104" t="s">
        <v>241</v>
      </c>
      <c r="D104">
        <v>84</v>
      </c>
      <c r="E104" t="s">
        <v>121</v>
      </c>
      <c r="J104">
        <f t="shared" si="2"/>
        <v>4</v>
      </c>
      <c r="K104" s="1" t="s">
        <v>241</v>
      </c>
      <c r="L104" t="s">
        <v>242</v>
      </c>
      <c r="M104" t="s">
        <v>261</v>
      </c>
      <c r="N104" t="s">
        <v>262</v>
      </c>
    </row>
    <row r="105" spans="1:14" x14ac:dyDescent="0.25">
      <c r="A105">
        <v>99</v>
      </c>
      <c r="B105" t="s">
        <v>263</v>
      </c>
      <c r="C105" t="s">
        <v>139</v>
      </c>
      <c r="D105">
        <v>87</v>
      </c>
      <c r="E105" t="s">
        <v>121</v>
      </c>
      <c r="J105">
        <f t="shared" si="2"/>
        <v>3</v>
      </c>
      <c r="K105">
        <v>50</v>
      </c>
      <c r="L105">
        <v>20</v>
      </c>
      <c r="M105">
        <v>100</v>
      </c>
    </row>
    <row r="106" spans="1:14" x14ac:dyDescent="0.25">
      <c r="A106">
        <v>100</v>
      </c>
      <c r="B106" t="s">
        <v>264</v>
      </c>
      <c r="C106" t="s">
        <v>218</v>
      </c>
      <c r="D106">
        <v>87</v>
      </c>
      <c r="E106" t="s">
        <v>121</v>
      </c>
      <c r="J106">
        <f t="shared" ref="J106:J137" si="3">COUNTA(K106:U106)</f>
        <v>3</v>
      </c>
      <c r="K106" s="1">
        <v>0.5</v>
      </c>
      <c r="L106">
        <v>0.25</v>
      </c>
      <c r="M106">
        <v>1</v>
      </c>
    </row>
    <row r="107" spans="1:14" x14ac:dyDescent="0.25">
      <c r="A107">
        <v>101</v>
      </c>
      <c r="B107" t="s">
        <v>265</v>
      </c>
      <c r="C107" t="s">
        <v>122</v>
      </c>
      <c r="J107">
        <f t="shared" si="3"/>
        <v>2</v>
      </c>
      <c r="K107" s="1" t="s">
        <v>122</v>
      </c>
      <c r="L107" t="s">
        <v>121</v>
      </c>
    </row>
    <row r="108" spans="1:14" x14ac:dyDescent="0.25">
      <c r="A108">
        <v>102</v>
      </c>
      <c r="B108" t="s">
        <v>266</v>
      </c>
      <c r="C108" t="s">
        <v>267</v>
      </c>
      <c r="D108">
        <v>101</v>
      </c>
      <c r="E108" t="s">
        <v>121</v>
      </c>
      <c r="J108">
        <f t="shared" si="3"/>
        <v>2</v>
      </c>
      <c r="K108" s="1" t="s">
        <v>267</v>
      </c>
      <c r="L108" t="s">
        <v>268</v>
      </c>
    </row>
    <row r="109" spans="1:14" x14ac:dyDescent="0.25">
      <c r="A109">
        <v>103</v>
      </c>
      <c r="B109" t="s">
        <v>269</v>
      </c>
      <c r="C109" t="s">
        <v>270</v>
      </c>
      <c r="D109">
        <v>101</v>
      </c>
      <c r="E109" t="s">
        <v>121</v>
      </c>
      <c r="J109">
        <f t="shared" si="3"/>
        <v>3</v>
      </c>
      <c r="K109">
        <v>8</v>
      </c>
      <c r="L109">
        <v>1</v>
      </c>
      <c r="M109">
        <v>20</v>
      </c>
    </row>
    <row r="110" spans="1:14" x14ac:dyDescent="0.25">
      <c r="A110">
        <v>104</v>
      </c>
      <c r="B110" t="s">
        <v>271</v>
      </c>
      <c r="C110" t="s">
        <v>122</v>
      </c>
      <c r="D110">
        <v>101</v>
      </c>
      <c r="E110" t="s">
        <v>121</v>
      </c>
      <c r="J110" t="s">
        <v>272</v>
      </c>
      <c r="K110" s="1" t="s">
        <v>122</v>
      </c>
    </row>
    <row r="111" spans="1:14" x14ac:dyDescent="0.25">
      <c r="A111">
        <v>105</v>
      </c>
      <c r="B111" t="s">
        <v>273</v>
      </c>
      <c r="C111" t="s">
        <v>122</v>
      </c>
      <c r="D111">
        <v>101</v>
      </c>
      <c r="E111" t="s">
        <v>121</v>
      </c>
      <c r="J111">
        <f t="shared" ref="J111:J150" si="4">COUNTA(K111:U111)</f>
        <v>2</v>
      </c>
      <c r="K111" s="1" t="s">
        <v>121</v>
      </c>
      <c r="L111" t="s">
        <v>122</v>
      </c>
    </row>
    <row r="112" spans="1:14" x14ac:dyDescent="0.25">
      <c r="A112">
        <v>106</v>
      </c>
      <c r="B112" t="s">
        <v>274</v>
      </c>
      <c r="C112" t="s">
        <v>164</v>
      </c>
      <c r="D112">
        <v>101</v>
      </c>
      <c r="E112" t="s">
        <v>121</v>
      </c>
      <c r="F112">
        <v>105</v>
      </c>
      <c r="G112" t="s">
        <v>121</v>
      </c>
      <c r="J112">
        <f t="shared" si="4"/>
        <v>3</v>
      </c>
      <c r="K112">
        <v>14</v>
      </c>
      <c r="L112">
        <v>7</v>
      </c>
      <c r="M112">
        <v>21</v>
      </c>
    </row>
    <row r="113" spans="1:13" x14ac:dyDescent="0.25">
      <c r="A113">
        <v>107</v>
      </c>
      <c r="B113" t="s">
        <v>275</v>
      </c>
      <c r="C113" t="s">
        <v>169</v>
      </c>
      <c r="D113">
        <v>101</v>
      </c>
      <c r="E113" t="s">
        <v>121</v>
      </c>
      <c r="F113">
        <v>105</v>
      </c>
      <c r="G113" t="s">
        <v>121</v>
      </c>
      <c r="J113">
        <f t="shared" si="4"/>
        <v>3</v>
      </c>
      <c r="K113">
        <v>25</v>
      </c>
      <c r="L113">
        <v>20</v>
      </c>
      <c r="M113">
        <v>30</v>
      </c>
    </row>
    <row r="114" spans="1:13" x14ac:dyDescent="0.25">
      <c r="A114">
        <v>108</v>
      </c>
      <c r="B114" t="s">
        <v>276</v>
      </c>
      <c r="C114" t="s">
        <v>171</v>
      </c>
      <c r="D114">
        <v>101</v>
      </c>
      <c r="E114" t="s">
        <v>121</v>
      </c>
      <c r="F114">
        <v>105</v>
      </c>
      <c r="G114" t="s">
        <v>121</v>
      </c>
      <c r="J114">
        <f t="shared" si="4"/>
        <v>3</v>
      </c>
      <c r="K114">
        <v>20</v>
      </c>
      <c r="L114">
        <v>15</v>
      </c>
      <c r="M114">
        <v>25</v>
      </c>
    </row>
    <row r="115" spans="1:13" x14ac:dyDescent="0.25">
      <c r="A115">
        <v>109</v>
      </c>
      <c r="B115" t="s">
        <v>277</v>
      </c>
      <c r="C115" t="s">
        <v>122</v>
      </c>
      <c r="D115">
        <v>101</v>
      </c>
      <c r="E115" t="s">
        <v>121</v>
      </c>
      <c r="J115">
        <f t="shared" si="4"/>
        <v>2</v>
      </c>
      <c r="K115" s="1" t="s">
        <v>121</v>
      </c>
      <c r="L115" t="s">
        <v>122</v>
      </c>
    </row>
    <row r="116" spans="1:13" x14ac:dyDescent="0.25">
      <c r="A116">
        <v>110</v>
      </c>
      <c r="B116" t="s">
        <v>278</v>
      </c>
      <c r="C116" t="s">
        <v>164</v>
      </c>
      <c r="D116">
        <v>101</v>
      </c>
      <c r="E116" t="s">
        <v>121</v>
      </c>
      <c r="F116">
        <v>109</v>
      </c>
      <c r="G116" t="s">
        <v>121</v>
      </c>
      <c r="J116">
        <f t="shared" si="4"/>
        <v>3</v>
      </c>
      <c r="K116">
        <v>14</v>
      </c>
      <c r="L116">
        <v>7</v>
      </c>
      <c r="M116">
        <v>21</v>
      </c>
    </row>
    <row r="117" spans="1:13" x14ac:dyDescent="0.25">
      <c r="A117">
        <v>111</v>
      </c>
      <c r="B117" t="s">
        <v>279</v>
      </c>
      <c r="C117" t="s">
        <v>139</v>
      </c>
      <c r="D117">
        <v>101</v>
      </c>
      <c r="E117" t="s">
        <v>121</v>
      </c>
      <c r="F117">
        <v>109</v>
      </c>
      <c r="G117" t="s">
        <v>121</v>
      </c>
      <c r="J117">
        <f t="shared" si="4"/>
        <v>3</v>
      </c>
      <c r="K117">
        <v>50</v>
      </c>
      <c r="L117">
        <v>45</v>
      </c>
      <c r="M117">
        <v>55</v>
      </c>
    </row>
    <row r="118" spans="1:13" x14ac:dyDescent="0.25">
      <c r="A118">
        <v>112</v>
      </c>
      <c r="B118" t="s">
        <v>280</v>
      </c>
      <c r="C118" t="s">
        <v>174</v>
      </c>
      <c r="D118">
        <v>101</v>
      </c>
      <c r="E118" t="s">
        <v>121</v>
      </c>
      <c r="F118">
        <v>109</v>
      </c>
      <c r="G118" t="s">
        <v>121</v>
      </c>
      <c r="J118">
        <f t="shared" si="4"/>
        <v>3</v>
      </c>
      <c r="K118">
        <v>62</v>
      </c>
      <c r="L118">
        <v>57</v>
      </c>
      <c r="M118">
        <v>67</v>
      </c>
    </row>
    <row r="119" spans="1:13" x14ac:dyDescent="0.25">
      <c r="A119">
        <v>113</v>
      </c>
      <c r="B119" t="s">
        <v>281</v>
      </c>
      <c r="C119" t="s">
        <v>181</v>
      </c>
      <c r="D119">
        <v>101</v>
      </c>
      <c r="E119" t="s">
        <v>121</v>
      </c>
      <c r="F119">
        <v>102</v>
      </c>
      <c r="G119" t="s">
        <v>268</v>
      </c>
      <c r="J119">
        <f t="shared" si="4"/>
        <v>3</v>
      </c>
      <c r="K119">
        <v>2</v>
      </c>
      <c r="L119">
        <v>1</v>
      </c>
      <c r="M119">
        <v>3</v>
      </c>
    </row>
    <row r="120" spans="1:13" x14ac:dyDescent="0.25">
      <c r="A120">
        <v>114</v>
      </c>
      <c r="B120" t="s">
        <v>282</v>
      </c>
      <c r="C120" t="s">
        <v>122</v>
      </c>
      <c r="J120">
        <f t="shared" si="4"/>
        <v>2</v>
      </c>
      <c r="K120" s="1" t="s">
        <v>121</v>
      </c>
      <c r="L120" t="s">
        <v>122</v>
      </c>
    </row>
    <row r="121" spans="1:13" x14ac:dyDescent="0.25">
      <c r="A121">
        <v>115</v>
      </c>
      <c r="B121" t="s">
        <v>283</v>
      </c>
      <c r="C121" t="s">
        <v>284</v>
      </c>
      <c r="D121">
        <v>114</v>
      </c>
      <c r="E121" t="s">
        <v>121</v>
      </c>
      <c r="J121">
        <f t="shared" si="4"/>
        <v>3</v>
      </c>
      <c r="K121" s="1">
        <v>1.2</v>
      </c>
      <c r="L121">
        <v>0.8</v>
      </c>
      <c r="M121">
        <v>1.5</v>
      </c>
    </row>
    <row r="122" spans="1:13" x14ac:dyDescent="0.25">
      <c r="A122">
        <v>116</v>
      </c>
      <c r="B122" t="s">
        <v>285</v>
      </c>
      <c r="C122" t="s">
        <v>122</v>
      </c>
      <c r="D122">
        <v>105</v>
      </c>
      <c r="E122" t="s">
        <v>121</v>
      </c>
      <c r="F122">
        <v>101</v>
      </c>
      <c r="G122" t="s">
        <v>121</v>
      </c>
      <c r="J122">
        <f t="shared" si="4"/>
        <v>2</v>
      </c>
      <c r="K122" s="1" t="s">
        <v>122</v>
      </c>
      <c r="L122" t="s">
        <v>121</v>
      </c>
    </row>
    <row r="123" spans="1:13" x14ac:dyDescent="0.25">
      <c r="A123">
        <v>117</v>
      </c>
      <c r="B123" t="s">
        <v>286</v>
      </c>
      <c r="C123" t="s">
        <v>252</v>
      </c>
      <c r="D123">
        <v>105</v>
      </c>
      <c r="E123" t="s">
        <v>121</v>
      </c>
      <c r="F123">
        <v>116</v>
      </c>
      <c r="G123" t="s">
        <v>121</v>
      </c>
      <c r="H123">
        <v>101</v>
      </c>
      <c r="I123" t="s">
        <v>121</v>
      </c>
      <c r="J123">
        <f t="shared" si="4"/>
        <v>3</v>
      </c>
      <c r="K123" t="s">
        <v>252</v>
      </c>
      <c r="L123" t="s">
        <v>253</v>
      </c>
      <c r="M123" t="s">
        <v>254</v>
      </c>
    </row>
    <row r="124" spans="1:13" x14ac:dyDescent="0.25">
      <c r="A124">
        <v>118</v>
      </c>
      <c r="B124" t="s">
        <v>287</v>
      </c>
      <c r="C124" t="s">
        <v>122</v>
      </c>
      <c r="D124">
        <v>109</v>
      </c>
      <c r="E124" t="s">
        <v>121</v>
      </c>
      <c r="F124">
        <v>101</v>
      </c>
      <c r="G124" t="s">
        <v>121</v>
      </c>
      <c r="J124">
        <f t="shared" si="4"/>
        <v>2</v>
      </c>
      <c r="K124" s="1" t="s">
        <v>122</v>
      </c>
      <c r="L124" t="s">
        <v>121</v>
      </c>
    </row>
    <row r="125" spans="1:13" x14ac:dyDescent="0.25">
      <c r="A125">
        <v>119</v>
      </c>
      <c r="B125" t="s">
        <v>288</v>
      </c>
      <c r="C125" t="s">
        <v>252</v>
      </c>
      <c r="D125">
        <v>109</v>
      </c>
      <c r="E125" t="s">
        <v>121</v>
      </c>
      <c r="F125">
        <v>118</v>
      </c>
      <c r="G125" t="s">
        <v>121</v>
      </c>
      <c r="H125">
        <v>101</v>
      </c>
      <c r="I125" t="s">
        <v>121</v>
      </c>
      <c r="J125">
        <f t="shared" si="4"/>
        <v>3</v>
      </c>
      <c r="K125" t="s">
        <v>252</v>
      </c>
      <c r="L125" t="s">
        <v>253</v>
      </c>
      <c r="M125" t="s">
        <v>254</v>
      </c>
    </row>
    <row r="126" spans="1:13" x14ac:dyDescent="0.25">
      <c r="A126">
        <v>120</v>
      </c>
      <c r="B126" t="s">
        <v>289</v>
      </c>
      <c r="C126" t="s">
        <v>164</v>
      </c>
      <c r="D126">
        <v>114</v>
      </c>
      <c r="E126" t="s">
        <v>121</v>
      </c>
      <c r="J126">
        <f t="shared" si="4"/>
        <v>3</v>
      </c>
      <c r="K126">
        <v>14</v>
      </c>
      <c r="L126">
        <v>7</v>
      </c>
      <c r="M126">
        <v>21</v>
      </c>
    </row>
    <row r="127" spans="1:13" x14ac:dyDescent="0.25">
      <c r="A127">
        <v>121</v>
      </c>
      <c r="B127" t="s">
        <v>290</v>
      </c>
      <c r="C127" t="s">
        <v>237</v>
      </c>
      <c r="D127">
        <v>114</v>
      </c>
      <c r="E127" t="s">
        <v>121</v>
      </c>
      <c r="J127">
        <f t="shared" si="4"/>
        <v>3</v>
      </c>
      <c r="K127">
        <v>100</v>
      </c>
      <c r="L127">
        <v>50</v>
      </c>
      <c r="M127">
        <v>200</v>
      </c>
    </row>
    <row r="128" spans="1:13" x14ac:dyDescent="0.25">
      <c r="A128">
        <v>122</v>
      </c>
      <c r="B128" t="s">
        <v>291</v>
      </c>
      <c r="C128" t="s">
        <v>122</v>
      </c>
      <c r="J128">
        <f t="shared" si="4"/>
        <v>2</v>
      </c>
      <c r="K128" s="1" t="s">
        <v>122</v>
      </c>
      <c r="L128" t="s">
        <v>121</v>
      </c>
    </row>
    <row r="129" spans="1:14" x14ac:dyDescent="0.25">
      <c r="A129">
        <v>123</v>
      </c>
      <c r="B129" t="s">
        <v>292</v>
      </c>
      <c r="C129" t="s">
        <v>148</v>
      </c>
      <c r="D129">
        <v>122</v>
      </c>
      <c r="E129" t="s">
        <v>121</v>
      </c>
      <c r="J129">
        <f t="shared" si="4"/>
        <v>3</v>
      </c>
      <c r="K129">
        <v>10</v>
      </c>
      <c r="L129">
        <v>5</v>
      </c>
      <c r="M129">
        <v>20</v>
      </c>
    </row>
    <row r="130" spans="1:14" x14ac:dyDescent="0.25">
      <c r="A130">
        <v>124</v>
      </c>
      <c r="B130" t="s">
        <v>293</v>
      </c>
      <c r="C130" t="s">
        <v>122</v>
      </c>
      <c r="J130">
        <f t="shared" si="4"/>
        <v>2</v>
      </c>
      <c r="K130" s="1" t="s">
        <v>122</v>
      </c>
      <c r="L130" t="s">
        <v>121</v>
      </c>
    </row>
    <row r="131" spans="1:14" x14ac:dyDescent="0.25">
      <c r="A131">
        <v>125</v>
      </c>
      <c r="B131" t="s">
        <v>294</v>
      </c>
      <c r="C131" t="s">
        <v>184</v>
      </c>
      <c r="D131">
        <v>124</v>
      </c>
      <c r="E131" t="s">
        <v>121</v>
      </c>
      <c r="J131">
        <f t="shared" si="4"/>
        <v>3</v>
      </c>
      <c r="K131">
        <v>3</v>
      </c>
      <c r="L131">
        <v>2</v>
      </c>
      <c r="M131">
        <v>5</v>
      </c>
    </row>
    <row r="132" spans="1:14" x14ac:dyDescent="0.25">
      <c r="A132">
        <v>126</v>
      </c>
      <c r="B132" t="s">
        <v>295</v>
      </c>
      <c r="C132" t="s">
        <v>122</v>
      </c>
      <c r="J132">
        <f t="shared" si="4"/>
        <v>2</v>
      </c>
      <c r="K132" s="1" t="s">
        <v>122</v>
      </c>
      <c r="L132" t="s">
        <v>121</v>
      </c>
    </row>
    <row r="133" spans="1:14" x14ac:dyDescent="0.25">
      <c r="A133">
        <v>127</v>
      </c>
      <c r="B133" t="s">
        <v>296</v>
      </c>
      <c r="C133" t="s">
        <v>186</v>
      </c>
      <c r="D133">
        <v>126</v>
      </c>
      <c r="E133" t="s">
        <v>121</v>
      </c>
      <c r="J133">
        <f t="shared" si="4"/>
        <v>3</v>
      </c>
      <c r="K133">
        <v>5</v>
      </c>
      <c r="L133">
        <v>2</v>
      </c>
      <c r="M133">
        <v>10</v>
      </c>
    </row>
    <row r="134" spans="1:14" x14ac:dyDescent="0.25">
      <c r="A134">
        <v>128</v>
      </c>
      <c r="B134" t="s">
        <v>297</v>
      </c>
      <c r="C134" t="s">
        <v>122</v>
      </c>
      <c r="J134">
        <f t="shared" si="4"/>
        <v>2</v>
      </c>
      <c r="K134" s="1" t="s">
        <v>121</v>
      </c>
      <c r="L134" t="s">
        <v>122</v>
      </c>
    </row>
    <row r="135" spans="1:14" x14ac:dyDescent="0.25">
      <c r="A135">
        <v>129</v>
      </c>
      <c r="B135" t="s">
        <v>298</v>
      </c>
      <c r="C135" t="s">
        <v>186</v>
      </c>
      <c r="D135">
        <v>128</v>
      </c>
      <c r="E135" t="s">
        <v>121</v>
      </c>
      <c r="J135">
        <f t="shared" si="4"/>
        <v>3</v>
      </c>
      <c r="K135">
        <v>5</v>
      </c>
      <c r="L135">
        <v>3</v>
      </c>
      <c r="M135">
        <v>10</v>
      </c>
    </row>
    <row r="136" spans="1:14" x14ac:dyDescent="0.25">
      <c r="A136">
        <v>130</v>
      </c>
      <c r="B136" t="s">
        <v>299</v>
      </c>
      <c r="C136" t="s">
        <v>122</v>
      </c>
      <c r="J136">
        <f t="shared" si="4"/>
        <v>2</v>
      </c>
      <c r="K136" s="1" t="s">
        <v>122</v>
      </c>
      <c r="L136" t="s">
        <v>121</v>
      </c>
    </row>
    <row r="137" spans="1:14" x14ac:dyDescent="0.25">
      <c r="A137">
        <v>131</v>
      </c>
      <c r="B137" t="s">
        <v>300</v>
      </c>
      <c r="C137" t="s">
        <v>181</v>
      </c>
      <c r="D137">
        <v>130</v>
      </c>
      <c r="E137" t="s">
        <v>121</v>
      </c>
      <c r="J137">
        <f t="shared" si="4"/>
        <v>3</v>
      </c>
      <c r="K137">
        <v>2</v>
      </c>
      <c r="L137">
        <v>1</v>
      </c>
      <c r="M137">
        <v>4</v>
      </c>
    </row>
    <row r="138" spans="1:14" x14ac:dyDescent="0.25">
      <c r="A138">
        <v>132</v>
      </c>
      <c r="B138" t="s">
        <v>301</v>
      </c>
      <c r="C138" t="s">
        <v>121</v>
      </c>
      <c r="D138">
        <v>124</v>
      </c>
      <c r="E138" t="s">
        <v>121</v>
      </c>
      <c r="J138">
        <f t="shared" si="4"/>
        <v>2</v>
      </c>
      <c r="K138" s="1" t="s">
        <v>121</v>
      </c>
      <c r="L138" t="s">
        <v>122</v>
      </c>
    </row>
    <row r="139" spans="1:14" x14ac:dyDescent="0.25">
      <c r="A139">
        <v>133</v>
      </c>
      <c r="B139" t="s">
        <v>302</v>
      </c>
      <c r="C139" t="s">
        <v>122</v>
      </c>
      <c r="J139">
        <f t="shared" si="4"/>
        <v>2</v>
      </c>
      <c r="K139" s="1" t="s">
        <v>122</v>
      </c>
      <c r="L139" t="s">
        <v>121</v>
      </c>
    </row>
    <row r="140" spans="1:14" x14ac:dyDescent="0.25">
      <c r="A140">
        <v>134</v>
      </c>
      <c r="B140" t="s">
        <v>303</v>
      </c>
      <c r="C140" t="s">
        <v>304</v>
      </c>
      <c r="D140">
        <v>133</v>
      </c>
      <c r="E140" t="s">
        <v>121</v>
      </c>
      <c r="J140">
        <f t="shared" si="4"/>
        <v>4</v>
      </c>
      <c r="K140" s="1" t="s">
        <v>304</v>
      </c>
      <c r="L140" t="s">
        <v>305</v>
      </c>
      <c r="M140" t="s">
        <v>306</v>
      </c>
      <c r="N140" t="s">
        <v>307</v>
      </c>
    </row>
    <row r="141" spans="1:14" x14ac:dyDescent="0.25">
      <c r="A141">
        <v>135</v>
      </c>
      <c r="B141" t="s">
        <v>308</v>
      </c>
      <c r="C141" t="s">
        <v>139</v>
      </c>
      <c r="D141">
        <v>133</v>
      </c>
      <c r="E141" t="s">
        <v>121</v>
      </c>
      <c r="F141">
        <v>134</v>
      </c>
      <c r="G141" t="s">
        <v>304</v>
      </c>
      <c r="J141">
        <f t="shared" si="4"/>
        <v>3</v>
      </c>
      <c r="K141">
        <v>50</v>
      </c>
      <c r="L141">
        <v>10</v>
      </c>
      <c r="M141">
        <v>100</v>
      </c>
    </row>
    <row r="142" spans="1:14" x14ac:dyDescent="0.25">
      <c r="A142">
        <v>136</v>
      </c>
      <c r="B142" t="s">
        <v>309</v>
      </c>
      <c r="C142" t="s">
        <v>184</v>
      </c>
      <c r="D142">
        <v>133</v>
      </c>
      <c r="E142" t="s">
        <v>121</v>
      </c>
      <c r="F142">
        <v>134</v>
      </c>
      <c r="G142" t="s">
        <v>305</v>
      </c>
      <c r="J142">
        <f t="shared" si="4"/>
        <v>3</v>
      </c>
      <c r="K142">
        <v>3</v>
      </c>
      <c r="L142">
        <v>1</v>
      </c>
      <c r="M142">
        <v>5</v>
      </c>
    </row>
    <row r="143" spans="1:14" x14ac:dyDescent="0.25">
      <c r="A143">
        <v>137</v>
      </c>
      <c r="B143" t="s">
        <v>310</v>
      </c>
      <c r="C143" t="s">
        <v>121</v>
      </c>
      <c r="D143">
        <v>133</v>
      </c>
      <c r="E143" t="s">
        <v>121</v>
      </c>
      <c r="F143">
        <v>128</v>
      </c>
      <c r="G143" t="s">
        <v>121</v>
      </c>
      <c r="J143">
        <f t="shared" si="4"/>
        <v>2</v>
      </c>
      <c r="K143" s="1" t="s">
        <v>121</v>
      </c>
      <c r="L143" t="s">
        <v>122</v>
      </c>
    </row>
    <row r="144" spans="1:14" x14ac:dyDescent="0.25">
      <c r="A144">
        <v>138</v>
      </c>
      <c r="B144" t="s">
        <v>311</v>
      </c>
      <c r="C144" t="s">
        <v>122</v>
      </c>
      <c r="D144">
        <v>133</v>
      </c>
      <c r="E144" t="s">
        <v>121</v>
      </c>
      <c r="F144">
        <v>134</v>
      </c>
      <c r="G144" t="s">
        <v>307</v>
      </c>
      <c r="H144">
        <v>124</v>
      </c>
      <c r="I144" t="s">
        <v>121</v>
      </c>
      <c r="J144">
        <f t="shared" si="4"/>
        <v>2</v>
      </c>
      <c r="K144" s="1" t="s">
        <v>122</v>
      </c>
      <c r="L144" t="s">
        <v>121</v>
      </c>
    </row>
    <row r="145" spans="1:13" x14ac:dyDescent="0.25">
      <c r="A145">
        <v>139</v>
      </c>
      <c r="B145" t="s">
        <v>312</v>
      </c>
      <c r="C145" t="s">
        <v>110</v>
      </c>
      <c r="D145">
        <v>133</v>
      </c>
      <c r="E145" t="s">
        <v>121</v>
      </c>
      <c r="F145">
        <v>134</v>
      </c>
      <c r="G145" t="s">
        <v>307</v>
      </c>
      <c r="H145">
        <v>138</v>
      </c>
      <c r="I145" t="s">
        <v>121</v>
      </c>
      <c r="J145">
        <f t="shared" si="4"/>
        <v>3</v>
      </c>
      <c r="K145">
        <v>1</v>
      </c>
      <c r="L145">
        <v>2</v>
      </c>
      <c r="M145">
        <v>3</v>
      </c>
    </row>
    <row r="146" spans="1:13" x14ac:dyDescent="0.25">
      <c r="A146">
        <v>140</v>
      </c>
      <c r="B146" t="s">
        <v>313</v>
      </c>
      <c r="C146" t="s">
        <v>121</v>
      </c>
      <c r="D146">
        <v>133</v>
      </c>
      <c r="E146" t="s">
        <v>121</v>
      </c>
      <c r="F146">
        <v>134</v>
      </c>
      <c r="G146" t="s">
        <v>307</v>
      </c>
      <c r="H146">
        <v>138</v>
      </c>
      <c r="I146" t="s">
        <v>121</v>
      </c>
      <c r="J146">
        <f t="shared" si="4"/>
        <v>2</v>
      </c>
      <c r="K146" s="1" t="s">
        <v>121</v>
      </c>
      <c r="L146" t="s">
        <v>122</v>
      </c>
    </row>
    <row r="147" spans="1:13" x14ac:dyDescent="0.25">
      <c r="A147">
        <v>141</v>
      </c>
      <c r="B147" t="s">
        <v>314</v>
      </c>
      <c r="C147" t="s">
        <v>121</v>
      </c>
      <c r="D147">
        <v>133</v>
      </c>
      <c r="E147" t="s">
        <v>121</v>
      </c>
      <c r="F147">
        <v>134</v>
      </c>
      <c r="G147" t="s">
        <v>307</v>
      </c>
      <c r="H147">
        <v>138</v>
      </c>
      <c r="I147" t="s">
        <v>121</v>
      </c>
      <c r="J147">
        <f t="shared" si="4"/>
        <v>2</v>
      </c>
      <c r="K147" s="1" t="s">
        <v>121</v>
      </c>
      <c r="L147" t="s">
        <v>122</v>
      </c>
    </row>
    <row r="148" spans="1:13" x14ac:dyDescent="0.25">
      <c r="A148">
        <v>142</v>
      </c>
      <c r="B148" t="s">
        <v>315</v>
      </c>
      <c r="C148" t="s">
        <v>121</v>
      </c>
      <c r="D148">
        <v>133</v>
      </c>
      <c r="E148" t="s">
        <v>121</v>
      </c>
      <c r="F148">
        <v>134</v>
      </c>
      <c r="G148" t="s">
        <v>307</v>
      </c>
      <c r="H148">
        <v>138</v>
      </c>
      <c r="I148" t="s">
        <v>121</v>
      </c>
      <c r="J148">
        <f t="shared" si="4"/>
        <v>2</v>
      </c>
      <c r="K148" s="1" t="s">
        <v>121</v>
      </c>
      <c r="L148" t="s">
        <v>122</v>
      </c>
    </row>
    <row r="149" spans="1:13" x14ac:dyDescent="0.25">
      <c r="A149">
        <v>143</v>
      </c>
      <c r="B149" t="s">
        <v>316</v>
      </c>
      <c r="C149" t="s">
        <v>121</v>
      </c>
      <c r="D149">
        <v>133</v>
      </c>
      <c r="E149" t="s">
        <v>121</v>
      </c>
      <c r="F149">
        <v>134</v>
      </c>
      <c r="G149" t="s">
        <v>307</v>
      </c>
      <c r="H149">
        <v>138</v>
      </c>
      <c r="I149" t="s">
        <v>121</v>
      </c>
      <c r="J149">
        <f t="shared" si="4"/>
        <v>2</v>
      </c>
      <c r="K149" s="1" t="s">
        <v>121</v>
      </c>
      <c r="L149" t="s">
        <v>122</v>
      </c>
    </row>
    <row r="150" spans="1:13" x14ac:dyDescent="0.25">
      <c r="A150">
        <v>144</v>
      </c>
      <c r="B150" t="s">
        <v>317</v>
      </c>
      <c r="C150" t="s">
        <v>121</v>
      </c>
      <c r="D150">
        <v>133</v>
      </c>
      <c r="E150" t="s">
        <v>121</v>
      </c>
      <c r="F150">
        <v>134</v>
      </c>
      <c r="G150" t="s">
        <v>307</v>
      </c>
      <c r="H150">
        <v>138</v>
      </c>
      <c r="I150" t="s">
        <v>121</v>
      </c>
      <c r="J150">
        <f t="shared" si="4"/>
        <v>2</v>
      </c>
      <c r="K150" s="1" t="s">
        <v>121</v>
      </c>
      <c r="L150" t="s">
        <v>122</v>
      </c>
    </row>
    <row r="151" spans="1:13" x14ac:dyDescent="0.25">
      <c r="A151">
        <v>145</v>
      </c>
      <c r="B151" t="s">
        <v>318</v>
      </c>
      <c r="C151" t="s">
        <v>121</v>
      </c>
      <c r="J151" t="s">
        <v>272</v>
      </c>
      <c r="K151" s="1" t="s">
        <v>121</v>
      </c>
    </row>
    <row r="152" spans="1:13" x14ac:dyDescent="0.25">
      <c r="A152">
        <v>146</v>
      </c>
      <c r="B152" t="s">
        <v>319</v>
      </c>
      <c r="C152" t="s">
        <v>122</v>
      </c>
      <c r="J152" t="s">
        <v>272</v>
      </c>
      <c r="K152" s="1" t="s">
        <v>122</v>
      </c>
    </row>
    <row r="153" spans="1:13" x14ac:dyDescent="0.25">
      <c r="A153">
        <v>147</v>
      </c>
      <c r="B153" t="s">
        <v>320</v>
      </c>
      <c r="C153" t="s">
        <v>121</v>
      </c>
      <c r="J153" t="s">
        <v>272</v>
      </c>
      <c r="K153" s="1" t="s">
        <v>121</v>
      </c>
    </row>
    <row r="154" spans="1:13" x14ac:dyDescent="0.25">
      <c r="A154">
        <v>148</v>
      </c>
      <c r="B154" t="s">
        <v>321</v>
      </c>
      <c r="C154" t="s">
        <v>121</v>
      </c>
      <c r="J154" t="s">
        <v>272</v>
      </c>
      <c r="K154" s="1" t="s">
        <v>121</v>
      </c>
    </row>
    <row r="155" spans="1:13" x14ac:dyDescent="0.25">
      <c r="A155">
        <v>149</v>
      </c>
      <c r="B155" t="s">
        <v>322</v>
      </c>
      <c r="C155" t="s">
        <v>122</v>
      </c>
      <c r="J155" t="s">
        <v>272</v>
      </c>
      <c r="K155" s="1" t="s">
        <v>122</v>
      </c>
    </row>
    <row r="156" spans="1:13" x14ac:dyDescent="0.25">
      <c r="A156">
        <v>150</v>
      </c>
      <c r="B156" t="s">
        <v>323</v>
      </c>
      <c r="C156" t="s">
        <v>121</v>
      </c>
      <c r="J156" t="s">
        <v>272</v>
      </c>
      <c r="K156" s="1" t="s">
        <v>121</v>
      </c>
    </row>
    <row r="157" spans="1:13" x14ac:dyDescent="0.25">
      <c r="A157">
        <v>151</v>
      </c>
      <c r="B157" t="s">
        <v>324</v>
      </c>
      <c r="C157" t="s">
        <v>121</v>
      </c>
      <c r="J157" t="s">
        <v>272</v>
      </c>
      <c r="K157" s="1" t="s">
        <v>121</v>
      </c>
    </row>
    <row r="158" spans="1:13" x14ac:dyDescent="0.25">
      <c r="A158">
        <v>152</v>
      </c>
      <c r="B158" t="s">
        <v>325</v>
      </c>
      <c r="C158" t="s">
        <v>121</v>
      </c>
      <c r="J158" t="s">
        <v>272</v>
      </c>
      <c r="K158" s="1" t="s">
        <v>121</v>
      </c>
    </row>
    <row r="159" spans="1:13" x14ac:dyDescent="0.25">
      <c r="A159">
        <v>153</v>
      </c>
      <c r="B159" t="s">
        <v>326</v>
      </c>
      <c r="C159" t="s">
        <v>122</v>
      </c>
      <c r="J159" t="s">
        <v>272</v>
      </c>
      <c r="K159" s="1" t="s">
        <v>122</v>
      </c>
    </row>
    <row r="160" spans="1:13" x14ac:dyDescent="0.25">
      <c r="A160">
        <v>154</v>
      </c>
      <c r="B160" t="s">
        <v>327</v>
      </c>
      <c r="C160" t="s">
        <v>121</v>
      </c>
      <c r="J160" t="s">
        <v>113</v>
      </c>
      <c r="K160" s="1" t="s">
        <v>121</v>
      </c>
    </row>
    <row r="161" spans="1:11" x14ac:dyDescent="0.25">
      <c r="A161">
        <v>155</v>
      </c>
      <c r="B161" t="s">
        <v>328</v>
      </c>
      <c r="C161" t="s">
        <v>121</v>
      </c>
      <c r="J161" t="s">
        <v>113</v>
      </c>
      <c r="K161" s="1" t="s">
        <v>121</v>
      </c>
    </row>
    <row r="162" spans="1:11" x14ac:dyDescent="0.25">
      <c r="A162">
        <v>156</v>
      </c>
      <c r="B162" t="s">
        <v>329</v>
      </c>
      <c r="C162" t="s">
        <v>121</v>
      </c>
      <c r="J162" t="s">
        <v>113</v>
      </c>
      <c r="K162" s="1" t="s">
        <v>121</v>
      </c>
    </row>
    <row r="163" spans="1:11" x14ac:dyDescent="0.25">
      <c r="A163">
        <v>157</v>
      </c>
      <c r="B163" t="s">
        <v>330</v>
      </c>
      <c r="C163" t="s">
        <v>331</v>
      </c>
      <c r="D163">
        <v>156</v>
      </c>
      <c r="E163" t="s">
        <v>121</v>
      </c>
      <c r="J163" t="s">
        <v>113</v>
      </c>
      <c r="K163" s="1" t="s">
        <v>331</v>
      </c>
    </row>
    <row r="164" spans="1:11" x14ac:dyDescent="0.25">
      <c r="A164">
        <v>158</v>
      </c>
      <c r="B164" t="s">
        <v>332</v>
      </c>
      <c r="C164" t="s">
        <v>333</v>
      </c>
      <c r="D164">
        <v>156</v>
      </c>
      <c r="E164" t="s">
        <v>121</v>
      </c>
      <c r="J164" t="s">
        <v>113</v>
      </c>
      <c r="K164" s="1" t="s">
        <v>333</v>
      </c>
    </row>
    <row r="165" spans="1:11" x14ac:dyDescent="0.25">
      <c r="A165">
        <v>159</v>
      </c>
      <c r="B165" t="s">
        <v>334</v>
      </c>
      <c r="C165" t="s">
        <v>335</v>
      </c>
      <c r="D165">
        <v>156</v>
      </c>
      <c r="E165" t="s">
        <v>121</v>
      </c>
      <c r="J165" t="s">
        <v>113</v>
      </c>
      <c r="K165" s="1" t="s">
        <v>335</v>
      </c>
    </row>
    <row r="166" spans="1:11" x14ac:dyDescent="0.25">
      <c r="A166">
        <v>160</v>
      </c>
      <c r="B166" t="s">
        <v>336</v>
      </c>
      <c r="C166" t="s">
        <v>237</v>
      </c>
      <c r="D166">
        <v>156</v>
      </c>
      <c r="E166" t="s">
        <v>121</v>
      </c>
      <c r="J166" t="s">
        <v>113</v>
      </c>
      <c r="K166" t="s">
        <v>237</v>
      </c>
    </row>
    <row r="167" spans="1:11" x14ac:dyDescent="0.25">
      <c r="A167">
        <v>161</v>
      </c>
      <c r="B167" t="s">
        <v>337</v>
      </c>
      <c r="C167" t="s">
        <v>338</v>
      </c>
      <c r="D167">
        <v>156</v>
      </c>
      <c r="E167" t="s">
        <v>121</v>
      </c>
      <c r="J167" t="s">
        <v>113</v>
      </c>
      <c r="K167" t="s">
        <v>338</v>
      </c>
    </row>
    <row r="168" spans="1:11" x14ac:dyDescent="0.25">
      <c r="A168">
        <v>162</v>
      </c>
      <c r="B168" t="s">
        <v>339</v>
      </c>
      <c r="C168" t="s">
        <v>121</v>
      </c>
      <c r="J168" t="s">
        <v>272</v>
      </c>
      <c r="K168" t="s">
        <v>121</v>
      </c>
    </row>
    <row r="169" spans="1:11" x14ac:dyDescent="0.25">
      <c r="A169">
        <v>163</v>
      </c>
      <c r="B169" t="s">
        <v>340</v>
      </c>
      <c r="C169" t="s">
        <v>122</v>
      </c>
      <c r="J169" t="s">
        <v>113</v>
      </c>
      <c r="K169" t="s">
        <v>122</v>
      </c>
    </row>
    <row r="170" spans="1:11" x14ac:dyDescent="0.25">
      <c r="A170">
        <v>164</v>
      </c>
      <c r="B170" t="s">
        <v>341</v>
      </c>
      <c r="C170" t="s">
        <v>122</v>
      </c>
      <c r="J170" t="s">
        <v>272</v>
      </c>
      <c r="K170" t="s">
        <v>122</v>
      </c>
    </row>
    <row r="171" spans="1:11" x14ac:dyDescent="0.25">
      <c r="A171">
        <v>165</v>
      </c>
      <c r="B171" t="s">
        <v>342</v>
      </c>
      <c r="C171" t="s">
        <v>343</v>
      </c>
      <c r="J171" t="s">
        <v>113</v>
      </c>
      <c r="K171" t="s">
        <v>343</v>
      </c>
    </row>
    <row r="172" spans="1:11" x14ac:dyDescent="0.25">
      <c r="A172">
        <v>166</v>
      </c>
      <c r="B172" t="s">
        <v>344</v>
      </c>
      <c r="C172" t="s">
        <v>345</v>
      </c>
      <c r="J172" t="s">
        <v>272</v>
      </c>
      <c r="K172" t="s">
        <v>345</v>
      </c>
    </row>
    <row r="173" spans="1:11" x14ac:dyDescent="0.25">
      <c r="A173">
        <v>167</v>
      </c>
      <c r="B173" t="s">
        <v>346</v>
      </c>
      <c r="C173" t="s">
        <v>347</v>
      </c>
      <c r="J173" t="s">
        <v>272</v>
      </c>
      <c r="K173" t="s">
        <v>347</v>
      </c>
    </row>
    <row r="174" spans="1:11" x14ac:dyDescent="0.25">
      <c r="A174">
        <v>168</v>
      </c>
      <c r="B174" t="s">
        <v>348</v>
      </c>
      <c r="C174" t="s">
        <v>122</v>
      </c>
      <c r="J174" t="s">
        <v>113</v>
      </c>
      <c r="K174" t="s">
        <v>122</v>
      </c>
    </row>
    <row r="175" spans="1:11" x14ac:dyDescent="0.25">
      <c r="A175">
        <v>169</v>
      </c>
      <c r="B175" t="s">
        <v>349</v>
      </c>
      <c r="C175" t="s">
        <v>122</v>
      </c>
      <c r="J175" t="s">
        <v>113</v>
      </c>
      <c r="K175" t="s">
        <v>122</v>
      </c>
    </row>
    <row r="176" spans="1:11" x14ac:dyDescent="0.25">
      <c r="A176">
        <v>170</v>
      </c>
      <c r="B176" t="s">
        <v>350</v>
      </c>
      <c r="C176" t="s">
        <v>345</v>
      </c>
      <c r="D176">
        <v>164</v>
      </c>
      <c r="E176" t="s">
        <v>121</v>
      </c>
      <c r="J176" t="s">
        <v>113</v>
      </c>
      <c r="K176" t="s">
        <v>345</v>
      </c>
    </row>
    <row r="177" spans="1:11" x14ac:dyDescent="0.25">
      <c r="A177">
        <v>171</v>
      </c>
      <c r="B177" t="s">
        <v>351</v>
      </c>
      <c r="C177" t="s">
        <v>347</v>
      </c>
      <c r="D177">
        <v>164</v>
      </c>
      <c r="E177" t="s">
        <v>121</v>
      </c>
      <c r="J177" t="s">
        <v>113</v>
      </c>
      <c r="K177" t="s">
        <v>347</v>
      </c>
    </row>
    <row r="178" spans="1:11" x14ac:dyDescent="0.25">
      <c r="A178">
        <v>172</v>
      </c>
      <c r="B178" t="s">
        <v>352</v>
      </c>
      <c r="C178" t="s">
        <v>122</v>
      </c>
      <c r="J178" t="s">
        <v>113</v>
      </c>
      <c r="K178" t="s">
        <v>122</v>
      </c>
    </row>
    <row r="179" spans="1:11" x14ac:dyDescent="0.25">
      <c r="A179">
        <v>173</v>
      </c>
      <c r="B179" t="s">
        <v>353</v>
      </c>
      <c r="C179" t="s">
        <v>122</v>
      </c>
      <c r="J179" t="s">
        <v>272</v>
      </c>
      <c r="K179" t="s">
        <v>122</v>
      </c>
    </row>
    <row r="180" spans="1:11" x14ac:dyDescent="0.25">
      <c r="A180">
        <v>174</v>
      </c>
      <c r="B180" t="s">
        <v>354</v>
      </c>
      <c r="C180" t="s">
        <v>345</v>
      </c>
      <c r="J180" t="s">
        <v>272</v>
      </c>
      <c r="K180" t="s">
        <v>345</v>
      </c>
    </row>
    <row r="181" spans="1:11" x14ac:dyDescent="0.25">
      <c r="A181">
        <v>175</v>
      </c>
      <c r="B181" t="s">
        <v>355</v>
      </c>
      <c r="C181" t="s">
        <v>356</v>
      </c>
      <c r="J181" t="s">
        <v>272</v>
      </c>
      <c r="K181" t="s">
        <v>356</v>
      </c>
    </row>
    <row r="182" spans="1:11" x14ac:dyDescent="0.25">
      <c r="A182">
        <v>176</v>
      </c>
      <c r="B182" t="s">
        <v>357</v>
      </c>
      <c r="C182" t="s">
        <v>121</v>
      </c>
      <c r="J182" t="s">
        <v>113</v>
      </c>
      <c r="K182" t="s">
        <v>121</v>
      </c>
    </row>
    <row r="183" spans="1:11" x14ac:dyDescent="0.25">
      <c r="A183">
        <v>177</v>
      </c>
      <c r="B183" t="s">
        <v>358</v>
      </c>
      <c r="C183" t="s">
        <v>122</v>
      </c>
      <c r="J183" t="s">
        <v>272</v>
      </c>
      <c r="K183" t="s">
        <v>122</v>
      </c>
    </row>
    <row r="184" spans="1:11" x14ac:dyDescent="0.25">
      <c r="A184">
        <v>178</v>
      </c>
      <c r="B184" t="s">
        <v>359</v>
      </c>
      <c r="C184" t="s">
        <v>122</v>
      </c>
      <c r="J184" t="s">
        <v>113</v>
      </c>
      <c r="K184" t="s">
        <v>122</v>
      </c>
    </row>
    <row r="185" spans="1:11" x14ac:dyDescent="0.25">
      <c r="A185">
        <v>179</v>
      </c>
      <c r="B185" t="s">
        <v>360</v>
      </c>
      <c r="C185" t="s">
        <v>122</v>
      </c>
      <c r="J185" t="s">
        <v>113</v>
      </c>
      <c r="K185" t="s">
        <v>122</v>
      </c>
    </row>
    <row r="186" spans="1:11" x14ac:dyDescent="0.25">
      <c r="A186">
        <v>180</v>
      </c>
      <c r="B186" t="s">
        <v>361</v>
      </c>
      <c r="C186" t="s">
        <v>362</v>
      </c>
      <c r="J186" t="s">
        <v>272</v>
      </c>
      <c r="K186" t="s">
        <v>362</v>
      </c>
    </row>
    <row r="187" spans="1:11" x14ac:dyDescent="0.25">
      <c r="A187">
        <v>181</v>
      </c>
      <c r="B187" t="s">
        <v>363</v>
      </c>
      <c r="C187" t="s">
        <v>364</v>
      </c>
      <c r="J187" t="s">
        <v>272</v>
      </c>
      <c r="K187" t="s">
        <v>364</v>
      </c>
    </row>
    <row r="188" spans="1:11" x14ac:dyDescent="0.25">
      <c r="A188">
        <v>182</v>
      </c>
      <c r="B188" t="s">
        <v>365</v>
      </c>
      <c r="C188" t="s">
        <v>366</v>
      </c>
      <c r="J188" t="s">
        <v>272</v>
      </c>
      <c r="K188" t="s">
        <v>366</v>
      </c>
    </row>
    <row r="189" spans="1:11" x14ac:dyDescent="0.25">
      <c r="A189">
        <v>183</v>
      </c>
      <c r="B189" t="s">
        <v>367</v>
      </c>
      <c r="C189" t="s">
        <v>368</v>
      </c>
      <c r="J189" t="s">
        <v>272</v>
      </c>
      <c r="K189" t="s">
        <v>368</v>
      </c>
    </row>
    <row r="190" spans="1:11" x14ac:dyDescent="0.25">
      <c r="A190">
        <v>184</v>
      </c>
      <c r="B190" t="s">
        <v>369</v>
      </c>
      <c r="C190" t="s">
        <v>370</v>
      </c>
      <c r="J190" t="s">
        <v>272</v>
      </c>
      <c r="K190" t="s">
        <v>370</v>
      </c>
    </row>
    <row r="191" spans="1:11" x14ac:dyDescent="0.25">
      <c r="A191">
        <v>185</v>
      </c>
      <c r="B191" t="s">
        <v>371</v>
      </c>
      <c r="C191" t="s">
        <v>372</v>
      </c>
      <c r="J191" t="s">
        <v>113</v>
      </c>
      <c r="K191" t="s">
        <v>372</v>
      </c>
    </row>
    <row r="192" spans="1:11" x14ac:dyDescent="0.25">
      <c r="A192">
        <v>186</v>
      </c>
      <c r="B192" t="s">
        <v>373</v>
      </c>
      <c r="C192" t="s">
        <v>374</v>
      </c>
      <c r="J192" t="s">
        <v>113</v>
      </c>
      <c r="K192" t="s">
        <v>374</v>
      </c>
    </row>
    <row r="193" spans="1:13" x14ac:dyDescent="0.25">
      <c r="A193">
        <v>187</v>
      </c>
      <c r="B193" t="s">
        <v>375</v>
      </c>
      <c r="C193" t="s">
        <v>237</v>
      </c>
      <c r="J193" t="s">
        <v>113</v>
      </c>
      <c r="K193" t="s">
        <v>237</v>
      </c>
    </row>
    <row r="194" spans="1:13" x14ac:dyDescent="0.25">
      <c r="A194">
        <v>188</v>
      </c>
      <c r="B194" t="s">
        <v>376</v>
      </c>
      <c r="C194" t="s">
        <v>110</v>
      </c>
      <c r="J194" t="s">
        <v>113</v>
      </c>
      <c r="K194" t="s">
        <v>110</v>
      </c>
    </row>
    <row r="195" spans="1:13" x14ac:dyDescent="0.25">
      <c r="A195">
        <v>189</v>
      </c>
      <c r="B195" t="s">
        <v>377</v>
      </c>
      <c r="C195" t="s">
        <v>121</v>
      </c>
      <c r="J195" t="s">
        <v>113</v>
      </c>
      <c r="K195" t="s">
        <v>121</v>
      </c>
    </row>
    <row r="196" spans="1:13" x14ac:dyDescent="0.25">
      <c r="A196">
        <v>190</v>
      </c>
      <c r="B196" t="s">
        <v>378</v>
      </c>
      <c r="C196" t="s">
        <v>121</v>
      </c>
      <c r="J196" t="s">
        <v>113</v>
      </c>
      <c r="K196" t="s">
        <v>121</v>
      </c>
    </row>
    <row r="197" spans="1:13" x14ac:dyDescent="0.25">
      <c r="A197">
        <v>191</v>
      </c>
      <c r="B197" t="s">
        <v>379</v>
      </c>
      <c r="C197" t="s">
        <v>121</v>
      </c>
      <c r="J197" t="s">
        <v>113</v>
      </c>
      <c r="K197" t="s">
        <v>121</v>
      </c>
    </row>
    <row r="198" spans="1:13" x14ac:dyDescent="0.25">
      <c r="A198">
        <v>192</v>
      </c>
      <c r="B198" t="s">
        <v>380</v>
      </c>
      <c r="C198" t="s">
        <v>122</v>
      </c>
      <c r="J198" t="s">
        <v>113</v>
      </c>
      <c r="K198" t="s">
        <v>122</v>
      </c>
    </row>
    <row r="199" spans="1:13" x14ac:dyDescent="0.25">
      <c r="A199">
        <v>193</v>
      </c>
      <c r="B199" t="s">
        <v>381</v>
      </c>
      <c r="C199" t="s">
        <v>122</v>
      </c>
      <c r="J199">
        <f t="shared" ref="J199:J213" si="5">COUNTA(K199:U199)</f>
        <v>2</v>
      </c>
      <c r="K199" t="s">
        <v>122</v>
      </c>
      <c r="L199" t="s">
        <v>121</v>
      </c>
    </row>
    <row r="200" spans="1:13" x14ac:dyDescent="0.25">
      <c r="A200">
        <v>194</v>
      </c>
      <c r="B200" t="s">
        <v>382</v>
      </c>
      <c r="C200" t="s">
        <v>383</v>
      </c>
      <c r="D200">
        <v>193</v>
      </c>
      <c r="E200" t="s">
        <v>121</v>
      </c>
      <c r="J200">
        <f t="shared" si="5"/>
        <v>2</v>
      </c>
      <c r="K200" t="s">
        <v>383</v>
      </c>
      <c r="L200" t="s">
        <v>384</v>
      </c>
    </row>
    <row r="201" spans="1:13" x14ac:dyDescent="0.25">
      <c r="A201">
        <v>195</v>
      </c>
      <c r="B201" t="s">
        <v>385</v>
      </c>
      <c r="C201" t="s">
        <v>386</v>
      </c>
      <c r="D201">
        <v>193</v>
      </c>
      <c r="E201" t="s">
        <v>121</v>
      </c>
      <c r="J201">
        <f t="shared" si="5"/>
        <v>2</v>
      </c>
      <c r="K201" t="s">
        <v>386</v>
      </c>
      <c r="L201" t="s">
        <v>387</v>
      </c>
    </row>
    <row r="202" spans="1:13" x14ac:dyDescent="0.25">
      <c r="A202">
        <v>196</v>
      </c>
      <c r="B202" t="s">
        <v>388</v>
      </c>
      <c r="C202" t="s">
        <v>389</v>
      </c>
      <c r="D202">
        <v>193</v>
      </c>
      <c r="E202" t="s">
        <v>121</v>
      </c>
      <c r="J202">
        <f t="shared" si="5"/>
        <v>3</v>
      </c>
      <c r="K202">
        <v>12</v>
      </c>
      <c r="L202">
        <v>8</v>
      </c>
      <c r="M202">
        <v>20</v>
      </c>
    </row>
    <row r="203" spans="1:13" x14ac:dyDescent="0.25">
      <c r="A203">
        <v>197</v>
      </c>
      <c r="B203" t="s">
        <v>390</v>
      </c>
      <c r="C203" t="s">
        <v>391</v>
      </c>
      <c r="D203">
        <v>193</v>
      </c>
      <c r="E203" t="s">
        <v>121</v>
      </c>
      <c r="J203">
        <f t="shared" si="5"/>
        <v>3</v>
      </c>
      <c r="K203">
        <v>26</v>
      </c>
      <c r="L203">
        <v>13</v>
      </c>
      <c r="M203">
        <v>34</v>
      </c>
    </row>
    <row r="204" spans="1:13" x14ac:dyDescent="0.25">
      <c r="A204">
        <v>198</v>
      </c>
      <c r="B204" t="s">
        <v>64</v>
      </c>
      <c r="C204" t="s">
        <v>392</v>
      </c>
      <c r="D204">
        <v>193</v>
      </c>
      <c r="E204" t="s">
        <v>121</v>
      </c>
      <c r="J204">
        <f t="shared" si="5"/>
        <v>3</v>
      </c>
      <c r="K204">
        <v>9</v>
      </c>
      <c r="L204">
        <v>5</v>
      </c>
      <c r="M204">
        <v>15</v>
      </c>
    </row>
    <row r="205" spans="1:13" x14ac:dyDescent="0.25">
      <c r="A205">
        <v>199</v>
      </c>
      <c r="B205" t="s">
        <v>393</v>
      </c>
      <c r="C205" t="s">
        <v>121</v>
      </c>
      <c r="D205">
        <v>193</v>
      </c>
      <c r="E205" t="s">
        <v>121</v>
      </c>
      <c r="J205">
        <f t="shared" si="5"/>
        <v>2</v>
      </c>
      <c r="K205" t="s">
        <v>121</v>
      </c>
      <c r="L205" t="s">
        <v>122</v>
      </c>
    </row>
    <row r="206" spans="1:13" x14ac:dyDescent="0.25">
      <c r="A206">
        <v>200</v>
      </c>
      <c r="B206" t="s">
        <v>394</v>
      </c>
      <c r="C206" t="s">
        <v>122</v>
      </c>
      <c r="D206">
        <v>193</v>
      </c>
      <c r="E206" t="s">
        <v>121</v>
      </c>
      <c r="J206">
        <f t="shared" si="5"/>
        <v>2</v>
      </c>
      <c r="K206" t="s">
        <v>122</v>
      </c>
      <c r="L206" t="s">
        <v>121</v>
      </c>
    </row>
    <row r="207" spans="1:13" x14ac:dyDescent="0.25">
      <c r="A207">
        <v>201</v>
      </c>
      <c r="B207" t="s">
        <v>395</v>
      </c>
      <c r="C207" t="s">
        <v>122</v>
      </c>
      <c r="D207">
        <v>193</v>
      </c>
      <c r="E207" t="s">
        <v>121</v>
      </c>
      <c r="J207">
        <f t="shared" si="5"/>
        <v>2</v>
      </c>
      <c r="K207" t="s">
        <v>122</v>
      </c>
      <c r="L207" t="s">
        <v>121</v>
      </c>
    </row>
    <row r="208" spans="1:13" x14ac:dyDescent="0.25">
      <c r="A208">
        <v>202</v>
      </c>
      <c r="B208" t="s">
        <v>396</v>
      </c>
      <c r="C208" t="s">
        <v>397</v>
      </c>
      <c r="D208">
        <v>193</v>
      </c>
      <c r="E208" t="s">
        <v>121</v>
      </c>
      <c r="F208">
        <v>201</v>
      </c>
      <c r="G208" t="s">
        <v>121</v>
      </c>
      <c r="J208">
        <f t="shared" si="5"/>
        <v>2</v>
      </c>
      <c r="K208" t="s">
        <v>397</v>
      </c>
      <c r="L208" t="s">
        <v>398</v>
      </c>
    </row>
    <row r="209" spans="1:13" x14ac:dyDescent="0.25">
      <c r="A209">
        <v>203</v>
      </c>
      <c r="B209" t="s">
        <v>399</v>
      </c>
      <c r="C209" t="s">
        <v>122</v>
      </c>
      <c r="D209">
        <v>193</v>
      </c>
      <c r="E209" t="s">
        <v>121</v>
      </c>
      <c r="J209">
        <f t="shared" si="5"/>
        <v>2</v>
      </c>
      <c r="K209" t="s">
        <v>122</v>
      </c>
      <c r="L209" t="s">
        <v>121</v>
      </c>
    </row>
    <row r="210" spans="1:13" x14ac:dyDescent="0.25">
      <c r="A210">
        <v>204</v>
      </c>
      <c r="B210" t="s">
        <v>400</v>
      </c>
      <c r="C210" t="s">
        <v>338</v>
      </c>
      <c r="D210">
        <v>193</v>
      </c>
      <c r="E210" t="s">
        <v>121</v>
      </c>
      <c r="F210">
        <v>203</v>
      </c>
      <c r="G210" t="s">
        <v>121</v>
      </c>
      <c r="J210">
        <f t="shared" si="5"/>
        <v>3</v>
      </c>
      <c r="K210">
        <v>0</v>
      </c>
      <c r="L210">
        <v>0.1</v>
      </c>
      <c r="M210">
        <v>0.5</v>
      </c>
    </row>
    <row r="211" spans="1:13" x14ac:dyDescent="0.25">
      <c r="A211">
        <v>205</v>
      </c>
      <c r="B211" t="s">
        <v>401</v>
      </c>
      <c r="C211" t="s">
        <v>121</v>
      </c>
      <c r="D211">
        <v>193</v>
      </c>
      <c r="E211" t="s">
        <v>121</v>
      </c>
      <c r="J211">
        <f t="shared" si="5"/>
        <v>2</v>
      </c>
      <c r="K211" t="s">
        <v>121</v>
      </c>
      <c r="L211" t="s">
        <v>122</v>
      </c>
    </row>
    <row r="212" spans="1:13" x14ac:dyDescent="0.25">
      <c r="A212">
        <v>206</v>
      </c>
      <c r="B212" t="s">
        <v>402</v>
      </c>
      <c r="C212" t="s">
        <v>253</v>
      </c>
      <c r="D212">
        <v>193</v>
      </c>
      <c r="E212" t="s">
        <v>121</v>
      </c>
      <c r="F212">
        <v>205</v>
      </c>
      <c r="G212" t="s">
        <v>121</v>
      </c>
      <c r="J212">
        <f t="shared" si="5"/>
        <v>3</v>
      </c>
      <c r="K212" t="s">
        <v>253</v>
      </c>
      <c r="L212" t="s">
        <v>252</v>
      </c>
      <c r="M212" t="s">
        <v>259</v>
      </c>
    </row>
    <row r="213" spans="1:13" x14ac:dyDescent="0.25">
      <c r="A213">
        <v>207</v>
      </c>
      <c r="B213" t="s">
        <v>403</v>
      </c>
      <c r="C213" t="s">
        <v>121</v>
      </c>
      <c r="D213">
        <v>193</v>
      </c>
      <c r="E213" t="s">
        <v>121</v>
      </c>
      <c r="F213">
        <v>205</v>
      </c>
      <c r="G213" t="s">
        <v>121</v>
      </c>
      <c r="J213">
        <f t="shared" si="5"/>
        <v>2</v>
      </c>
      <c r="K213" t="s">
        <v>121</v>
      </c>
      <c r="L213" t="s">
        <v>122</v>
      </c>
    </row>
    <row r="214" spans="1:13" x14ac:dyDescent="0.25">
      <c r="A214">
        <v>208</v>
      </c>
      <c r="B214" t="s">
        <v>404</v>
      </c>
      <c r="C214" t="s">
        <v>122</v>
      </c>
      <c r="D214">
        <v>193</v>
      </c>
      <c r="E214" t="s">
        <v>121</v>
      </c>
      <c r="J214" t="s">
        <v>272</v>
      </c>
      <c r="K214" t="s">
        <v>122</v>
      </c>
      <c r="L214" t="s">
        <v>121</v>
      </c>
    </row>
    <row r="215" spans="1:13" x14ac:dyDescent="0.25">
      <c r="A215">
        <v>209</v>
      </c>
      <c r="B215" t="s">
        <v>405</v>
      </c>
      <c r="C215" t="s">
        <v>122</v>
      </c>
      <c r="J215">
        <f t="shared" ref="J215:J239" si="6">COUNTA(K215:U215)</f>
        <v>2</v>
      </c>
      <c r="K215" t="s">
        <v>121</v>
      </c>
      <c r="L215" t="s">
        <v>122</v>
      </c>
    </row>
    <row r="216" spans="1:13" x14ac:dyDescent="0.25">
      <c r="A216">
        <v>210</v>
      </c>
      <c r="B216" t="s">
        <v>406</v>
      </c>
      <c r="C216" t="s">
        <v>407</v>
      </c>
      <c r="D216">
        <v>209</v>
      </c>
      <c r="E216" t="s">
        <v>121</v>
      </c>
      <c r="J216">
        <f t="shared" si="6"/>
        <v>3</v>
      </c>
      <c r="K216">
        <v>7</v>
      </c>
      <c r="L216">
        <v>1</v>
      </c>
      <c r="M216">
        <v>14</v>
      </c>
    </row>
    <row r="217" spans="1:13" x14ac:dyDescent="0.25">
      <c r="A217">
        <v>211</v>
      </c>
      <c r="B217" t="s">
        <v>408</v>
      </c>
      <c r="C217" t="s">
        <v>407</v>
      </c>
      <c r="D217">
        <v>209</v>
      </c>
      <c r="E217" t="s">
        <v>121</v>
      </c>
      <c r="J217">
        <f t="shared" si="6"/>
        <v>3</v>
      </c>
      <c r="K217">
        <v>7</v>
      </c>
      <c r="L217">
        <v>1</v>
      </c>
      <c r="M217">
        <v>14</v>
      </c>
    </row>
    <row r="218" spans="1:13" x14ac:dyDescent="0.25">
      <c r="A218">
        <v>212</v>
      </c>
      <c r="B218" t="s">
        <v>409</v>
      </c>
      <c r="C218" t="s">
        <v>121</v>
      </c>
      <c r="D218">
        <v>209</v>
      </c>
      <c r="E218" t="s">
        <v>121</v>
      </c>
      <c r="J218">
        <f t="shared" si="6"/>
        <v>2</v>
      </c>
      <c r="K218" t="s">
        <v>121</v>
      </c>
      <c r="L218" t="s">
        <v>122</v>
      </c>
    </row>
    <row r="219" spans="1:13" x14ac:dyDescent="0.25">
      <c r="A219">
        <v>213</v>
      </c>
      <c r="B219" t="s">
        <v>410</v>
      </c>
      <c r="C219" t="s">
        <v>246</v>
      </c>
      <c r="D219">
        <v>209</v>
      </c>
      <c r="E219" t="s">
        <v>121</v>
      </c>
      <c r="J219">
        <f t="shared" si="6"/>
        <v>3</v>
      </c>
      <c r="K219">
        <v>200</v>
      </c>
      <c r="L219">
        <v>1</v>
      </c>
      <c r="M219">
        <v>50</v>
      </c>
    </row>
    <row r="220" spans="1:13" x14ac:dyDescent="0.25">
      <c r="A220">
        <v>214</v>
      </c>
      <c r="B220" t="s">
        <v>411</v>
      </c>
      <c r="C220" t="s">
        <v>110</v>
      </c>
      <c r="D220">
        <v>209</v>
      </c>
      <c r="E220" t="s">
        <v>121</v>
      </c>
      <c r="J220">
        <f t="shared" si="6"/>
        <v>3</v>
      </c>
      <c r="K220">
        <v>1</v>
      </c>
      <c r="L220">
        <v>0</v>
      </c>
      <c r="M220">
        <v>3</v>
      </c>
    </row>
    <row r="221" spans="1:13" x14ac:dyDescent="0.25">
      <c r="A221">
        <v>215</v>
      </c>
      <c r="B221" t="s">
        <v>412</v>
      </c>
      <c r="C221" t="s">
        <v>122</v>
      </c>
      <c r="D221">
        <v>209</v>
      </c>
      <c r="E221" t="s">
        <v>121</v>
      </c>
      <c r="J221">
        <f t="shared" si="6"/>
        <v>2</v>
      </c>
      <c r="K221" t="s">
        <v>122</v>
      </c>
      <c r="L221" t="s">
        <v>121</v>
      </c>
    </row>
    <row r="222" spans="1:13" x14ac:dyDescent="0.25">
      <c r="A222">
        <v>216</v>
      </c>
      <c r="B222" t="s">
        <v>413</v>
      </c>
      <c r="C222" t="s">
        <v>122</v>
      </c>
      <c r="D222">
        <v>209</v>
      </c>
      <c r="E222" t="s">
        <v>121</v>
      </c>
      <c r="J222">
        <f t="shared" si="6"/>
        <v>2</v>
      </c>
      <c r="K222" t="s">
        <v>122</v>
      </c>
      <c r="L222" t="s">
        <v>121</v>
      </c>
    </row>
    <row r="223" spans="1:13" x14ac:dyDescent="0.25">
      <c r="A223">
        <v>217</v>
      </c>
      <c r="B223" t="s">
        <v>414</v>
      </c>
      <c r="C223" t="s">
        <v>415</v>
      </c>
      <c r="D223">
        <v>209</v>
      </c>
      <c r="E223" t="s">
        <v>121</v>
      </c>
      <c r="F223">
        <v>216</v>
      </c>
      <c r="G223" t="s">
        <v>121</v>
      </c>
      <c r="J223">
        <f t="shared" si="6"/>
        <v>2</v>
      </c>
      <c r="K223" t="s">
        <v>415</v>
      </c>
      <c r="L223" t="s">
        <v>416</v>
      </c>
    </row>
    <row r="224" spans="1:13" x14ac:dyDescent="0.25">
      <c r="A224">
        <v>218</v>
      </c>
      <c r="B224" t="s">
        <v>417</v>
      </c>
      <c r="C224" t="s">
        <v>121</v>
      </c>
      <c r="D224">
        <v>209</v>
      </c>
      <c r="E224" t="s">
        <v>121</v>
      </c>
      <c r="F224">
        <v>216</v>
      </c>
      <c r="G224" t="s">
        <v>121</v>
      </c>
      <c r="J224">
        <f t="shared" si="6"/>
        <v>2</v>
      </c>
      <c r="K224" t="s">
        <v>121</v>
      </c>
      <c r="L224" t="s">
        <v>122</v>
      </c>
    </row>
    <row r="225" spans="1:13" x14ac:dyDescent="0.25">
      <c r="A225">
        <v>219</v>
      </c>
      <c r="B225" t="s">
        <v>418</v>
      </c>
      <c r="C225" t="s">
        <v>121</v>
      </c>
      <c r="D225">
        <v>209</v>
      </c>
      <c r="E225" t="s">
        <v>121</v>
      </c>
      <c r="J225">
        <f t="shared" si="6"/>
        <v>2</v>
      </c>
      <c r="K225" t="s">
        <v>121</v>
      </c>
      <c r="L225" t="s">
        <v>122</v>
      </c>
    </row>
    <row r="226" spans="1:13" x14ac:dyDescent="0.25">
      <c r="A226">
        <v>220</v>
      </c>
      <c r="B226" t="s">
        <v>419</v>
      </c>
      <c r="C226" t="s">
        <v>420</v>
      </c>
      <c r="D226">
        <v>209</v>
      </c>
      <c r="E226" t="s">
        <v>121</v>
      </c>
      <c r="J226">
        <f t="shared" si="6"/>
        <v>2</v>
      </c>
      <c r="K226" t="s">
        <v>420</v>
      </c>
      <c r="L226" t="s">
        <v>421</v>
      </c>
    </row>
    <row r="227" spans="1:13" x14ac:dyDescent="0.25">
      <c r="A227">
        <v>221</v>
      </c>
      <c r="B227" t="s">
        <v>422</v>
      </c>
      <c r="C227" t="s">
        <v>423</v>
      </c>
      <c r="D227">
        <v>209</v>
      </c>
      <c r="E227" t="s">
        <v>121</v>
      </c>
      <c r="J227">
        <f t="shared" si="6"/>
        <v>3</v>
      </c>
      <c r="K227" t="s">
        <v>423</v>
      </c>
      <c r="L227" t="s">
        <v>424</v>
      </c>
      <c r="M227" t="s">
        <v>425</v>
      </c>
    </row>
    <row r="228" spans="1:13" x14ac:dyDescent="0.25">
      <c r="A228">
        <v>222</v>
      </c>
      <c r="B228" t="s">
        <v>426</v>
      </c>
      <c r="C228" t="s">
        <v>121</v>
      </c>
      <c r="D228">
        <v>209</v>
      </c>
      <c r="E228" t="s">
        <v>121</v>
      </c>
      <c r="J228">
        <f t="shared" si="6"/>
        <v>2</v>
      </c>
      <c r="K228" t="s">
        <v>121</v>
      </c>
      <c r="L228" t="s">
        <v>122</v>
      </c>
    </row>
    <row r="229" spans="1:13" x14ac:dyDescent="0.25">
      <c r="A229">
        <v>223</v>
      </c>
      <c r="B229" t="s">
        <v>427</v>
      </c>
      <c r="C229" t="s">
        <v>122</v>
      </c>
      <c r="D229">
        <v>209</v>
      </c>
      <c r="E229" t="s">
        <v>121</v>
      </c>
      <c r="J229">
        <f t="shared" si="6"/>
        <v>2</v>
      </c>
      <c r="K229" t="s">
        <v>122</v>
      </c>
      <c r="L229" t="s">
        <v>121</v>
      </c>
    </row>
    <row r="230" spans="1:13" x14ac:dyDescent="0.25">
      <c r="A230">
        <v>224</v>
      </c>
      <c r="B230" t="s">
        <v>428</v>
      </c>
      <c r="C230" t="s">
        <v>338</v>
      </c>
      <c r="D230">
        <v>209</v>
      </c>
      <c r="E230" t="s">
        <v>121</v>
      </c>
      <c r="J230">
        <f t="shared" si="6"/>
        <v>3</v>
      </c>
      <c r="K230">
        <v>0</v>
      </c>
      <c r="L230">
        <v>1</v>
      </c>
      <c r="M230">
        <v>5</v>
      </c>
    </row>
    <row r="231" spans="1:13" x14ac:dyDescent="0.25">
      <c r="A231">
        <v>225</v>
      </c>
      <c r="B231" t="s">
        <v>429</v>
      </c>
      <c r="C231" t="s">
        <v>338</v>
      </c>
      <c r="D231">
        <v>209</v>
      </c>
      <c r="E231" t="s">
        <v>121</v>
      </c>
      <c r="J231">
        <f t="shared" si="6"/>
        <v>3</v>
      </c>
      <c r="K231">
        <v>0</v>
      </c>
      <c r="L231">
        <v>2</v>
      </c>
      <c r="M231">
        <v>5</v>
      </c>
    </row>
    <row r="232" spans="1:13" x14ac:dyDescent="0.25">
      <c r="A232">
        <v>226</v>
      </c>
      <c r="B232" t="s">
        <v>430</v>
      </c>
      <c r="C232" t="s">
        <v>338</v>
      </c>
      <c r="D232">
        <v>209</v>
      </c>
      <c r="E232" t="s">
        <v>121</v>
      </c>
      <c r="J232">
        <f t="shared" si="6"/>
        <v>3</v>
      </c>
      <c r="K232">
        <v>0</v>
      </c>
      <c r="L232">
        <v>10</v>
      </c>
      <c r="M232">
        <v>50</v>
      </c>
    </row>
    <row r="233" spans="1:13" x14ac:dyDescent="0.25">
      <c r="A233">
        <v>227</v>
      </c>
      <c r="B233" t="s">
        <v>431</v>
      </c>
      <c r="C233" t="s">
        <v>122</v>
      </c>
      <c r="D233">
        <v>209</v>
      </c>
      <c r="E233" t="s">
        <v>121</v>
      </c>
      <c r="J233">
        <f t="shared" si="6"/>
        <v>2</v>
      </c>
      <c r="K233" t="s">
        <v>121</v>
      </c>
      <c r="L233" t="s">
        <v>122</v>
      </c>
    </row>
    <row r="234" spans="1:13" x14ac:dyDescent="0.25">
      <c r="A234">
        <v>228</v>
      </c>
      <c r="B234" t="s">
        <v>432</v>
      </c>
      <c r="C234" t="s">
        <v>433</v>
      </c>
      <c r="D234">
        <v>209</v>
      </c>
      <c r="E234" t="s">
        <v>121</v>
      </c>
      <c r="F234">
        <v>227</v>
      </c>
      <c r="G234" t="s">
        <v>121</v>
      </c>
      <c r="J234">
        <f t="shared" si="6"/>
        <v>2</v>
      </c>
      <c r="K234" t="s">
        <v>433</v>
      </c>
      <c r="L234" t="s">
        <v>434</v>
      </c>
    </row>
    <row r="235" spans="1:13" x14ac:dyDescent="0.25">
      <c r="A235">
        <v>229</v>
      </c>
      <c r="B235" t="s">
        <v>435</v>
      </c>
      <c r="C235" t="s">
        <v>164</v>
      </c>
      <c r="D235">
        <v>209</v>
      </c>
      <c r="E235" t="s">
        <v>121</v>
      </c>
      <c r="F235">
        <v>227</v>
      </c>
      <c r="G235" t="s">
        <v>121</v>
      </c>
      <c r="H235">
        <v>228</v>
      </c>
      <c r="I235" t="s">
        <v>433</v>
      </c>
      <c r="J235">
        <f t="shared" si="6"/>
        <v>3</v>
      </c>
      <c r="K235">
        <v>14</v>
      </c>
      <c r="L235">
        <v>7</v>
      </c>
      <c r="M235">
        <v>21</v>
      </c>
    </row>
    <row r="236" spans="1:13" x14ac:dyDescent="0.25">
      <c r="A236">
        <v>230</v>
      </c>
      <c r="B236" t="s">
        <v>436</v>
      </c>
      <c r="C236" t="s">
        <v>437</v>
      </c>
      <c r="D236">
        <v>209</v>
      </c>
      <c r="E236" t="s">
        <v>121</v>
      </c>
      <c r="F236">
        <v>227</v>
      </c>
      <c r="G236" t="s">
        <v>121</v>
      </c>
      <c r="H236">
        <v>228</v>
      </c>
      <c r="I236" t="s">
        <v>433</v>
      </c>
      <c r="J236">
        <f t="shared" si="6"/>
        <v>3</v>
      </c>
      <c r="K236">
        <v>0.3</v>
      </c>
      <c r="L236">
        <v>0.15</v>
      </c>
      <c r="M236">
        <v>0.5</v>
      </c>
    </row>
    <row r="237" spans="1:13" x14ac:dyDescent="0.25">
      <c r="A237">
        <v>231</v>
      </c>
      <c r="B237" t="s">
        <v>438</v>
      </c>
      <c r="C237" t="s">
        <v>439</v>
      </c>
      <c r="D237">
        <v>209</v>
      </c>
      <c r="E237" t="s">
        <v>121</v>
      </c>
      <c r="F237">
        <v>227</v>
      </c>
      <c r="G237" t="s">
        <v>121</v>
      </c>
      <c r="H237">
        <v>228</v>
      </c>
      <c r="I237" t="s">
        <v>434</v>
      </c>
      <c r="J237">
        <f t="shared" si="6"/>
        <v>3</v>
      </c>
      <c r="K237">
        <v>0.15</v>
      </c>
      <c r="L237">
        <v>0.05</v>
      </c>
      <c r="M237">
        <v>0.3</v>
      </c>
    </row>
    <row r="238" spans="1:13" x14ac:dyDescent="0.25">
      <c r="A238">
        <v>232</v>
      </c>
      <c r="B238" t="s">
        <v>440</v>
      </c>
      <c r="C238" t="s">
        <v>122</v>
      </c>
      <c r="D238">
        <v>209</v>
      </c>
      <c r="E238" t="s">
        <v>121</v>
      </c>
      <c r="J238">
        <f t="shared" si="6"/>
        <v>2</v>
      </c>
      <c r="K238" t="s">
        <v>122</v>
      </c>
      <c r="L238" t="s">
        <v>121</v>
      </c>
    </row>
    <row r="239" spans="1:13" x14ac:dyDescent="0.25">
      <c r="A239">
        <v>233</v>
      </c>
      <c r="B239" t="s">
        <v>441</v>
      </c>
      <c r="C239" t="s">
        <v>442</v>
      </c>
      <c r="D239">
        <v>209</v>
      </c>
      <c r="E239" t="s">
        <v>121</v>
      </c>
      <c r="F239">
        <v>232</v>
      </c>
      <c r="G239" t="s">
        <v>121</v>
      </c>
      <c r="J239">
        <f t="shared" si="6"/>
        <v>2</v>
      </c>
      <c r="K239" t="s">
        <v>443</v>
      </c>
      <c r="L239" t="s">
        <v>444</v>
      </c>
    </row>
    <row r="240" spans="1:13" x14ac:dyDescent="0.25">
      <c r="A240">
        <v>234</v>
      </c>
      <c r="B240" t="s">
        <v>445</v>
      </c>
      <c r="C240" t="s">
        <v>122</v>
      </c>
      <c r="D240">
        <v>209</v>
      </c>
      <c r="E240" t="s">
        <v>121</v>
      </c>
      <c r="J240" t="s">
        <v>272</v>
      </c>
      <c r="K240" t="s">
        <v>122</v>
      </c>
    </row>
    <row r="241" spans="1:11" x14ac:dyDescent="0.25">
      <c r="A241">
        <v>235</v>
      </c>
      <c r="B241" t="s">
        <v>446</v>
      </c>
      <c r="C241" t="s">
        <v>122</v>
      </c>
      <c r="D241">
        <v>209</v>
      </c>
      <c r="E241" t="s">
        <v>121</v>
      </c>
      <c r="J241" t="s">
        <v>272</v>
      </c>
      <c r="K241" t="s">
        <v>122</v>
      </c>
    </row>
    <row r="242" spans="1:11" x14ac:dyDescent="0.25">
      <c r="A242">
        <v>236</v>
      </c>
      <c r="B242" t="s">
        <v>447</v>
      </c>
      <c r="C242" t="s">
        <v>121</v>
      </c>
      <c r="D242">
        <v>209</v>
      </c>
      <c r="E242" t="s">
        <v>121</v>
      </c>
      <c r="F242">
        <v>235</v>
      </c>
      <c r="G242" t="s">
        <v>121</v>
      </c>
      <c r="J242" t="s">
        <v>272</v>
      </c>
      <c r="K242" t="s">
        <v>121</v>
      </c>
    </row>
    <row r="243" spans="1:11" x14ac:dyDescent="0.25">
      <c r="A243">
        <v>237</v>
      </c>
      <c r="B243" t="s">
        <v>448</v>
      </c>
      <c r="C243" t="s">
        <v>122</v>
      </c>
      <c r="D243">
        <v>209</v>
      </c>
      <c r="E243" t="s">
        <v>121</v>
      </c>
      <c r="F243">
        <v>235</v>
      </c>
      <c r="G243" t="s">
        <v>121</v>
      </c>
      <c r="J243" t="s">
        <v>272</v>
      </c>
      <c r="K243" t="s">
        <v>122</v>
      </c>
    </row>
    <row r="244" spans="1:11" x14ac:dyDescent="0.25">
      <c r="A244">
        <v>238</v>
      </c>
      <c r="B244" t="s">
        <v>449</v>
      </c>
      <c r="C244" t="s">
        <v>121</v>
      </c>
      <c r="D244">
        <v>209</v>
      </c>
      <c r="E244" t="s">
        <v>121</v>
      </c>
      <c r="F244">
        <v>235</v>
      </c>
      <c r="G244" t="s">
        <v>121</v>
      </c>
      <c r="J244" t="s">
        <v>272</v>
      </c>
      <c r="K244" t="s">
        <v>121</v>
      </c>
    </row>
    <row r="245" spans="1:11" x14ac:dyDescent="0.25">
      <c r="A245">
        <v>239</v>
      </c>
      <c r="B245" t="s">
        <v>450</v>
      </c>
      <c r="C245" t="s">
        <v>121</v>
      </c>
      <c r="D245">
        <v>209</v>
      </c>
      <c r="E245" t="s">
        <v>121</v>
      </c>
      <c r="F245">
        <v>235</v>
      </c>
      <c r="G245" t="s">
        <v>121</v>
      </c>
      <c r="J245" t="s">
        <v>272</v>
      </c>
      <c r="K245" t="s">
        <v>121</v>
      </c>
    </row>
    <row r="246" spans="1:11" x14ac:dyDescent="0.25">
      <c r="A246">
        <v>240</v>
      </c>
      <c r="B246" t="s">
        <v>451</v>
      </c>
      <c r="C246" t="s">
        <v>121</v>
      </c>
      <c r="D246">
        <v>209</v>
      </c>
      <c r="E246" t="s">
        <v>121</v>
      </c>
      <c r="F246">
        <v>235</v>
      </c>
      <c r="G246" t="s">
        <v>121</v>
      </c>
      <c r="J246" t="s">
        <v>272</v>
      </c>
      <c r="K246" t="s">
        <v>121</v>
      </c>
    </row>
    <row r="247" spans="1:11" x14ac:dyDescent="0.25">
      <c r="A247">
        <v>241</v>
      </c>
      <c r="B247" t="s">
        <v>452</v>
      </c>
      <c r="C247" t="s">
        <v>121</v>
      </c>
      <c r="D247">
        <v>209</v>
      </c>
      <c r="E247" t="s">
        <v>121</v>
      </c>
      <c r="F247">
        <v>235</v>
      </c>
      <c r="G247" t="s">
        <v>121</v>
      </c>
      <c r="J247" t="s">
        <v>272</v>
      </c>
      <c r="K247" t="s">
        <v>121</v>
      </c>
    </row>
    <row r="248" spans="1:11" x14ac:dyDescent="0.25">
      <c r="A248">
        <v>242</v>
      </c>
      <c r="B248" t="s">
        <v>453</v>
      </c>
      <c r="C248" t="s">
        <v>121</v>
      </c>
      <c r="D248">
        <v>209</v>
      </c>
      <c r="E248" t="s">
        <v>121</v>
      </c>
      <c r="F248">
        <v>235</v>
      </c>
      <c r="G248" t="s">
        <v>121</v>
      </c>
      <c r="J248" t="s">
        <v>272</v>
      </c>
      <c r="K248" t="s">
        <v>121</v>
      </c>
    </row>
    <row r="249" spans="1:11" x14ac:dyDescent="0.25">
      <c r="A249">
        <v>243</v>
      </c>
      <c r="B249" t="s">
        <v>454</v>
      </c>
      <c r="C249" t="s">
        <v>122</v>
      </c>
      <c r="D249">
        <v>209</v>
      </c>
      <c r="E249" t="s">
        <v>121</v>
      </c>
      <c r="F249">
        <v>235</v>
      </c>
      <c r="G249" t="s">
        <v>121</v>
      </c>
      <c r="J249" t="s">
        <v>272</v>
      </c>
      <c r="K249" t="s">
        <v>122</v>
      </c>
    </row>
    <row r="250" spans="1:11" x14ac:dyDescent="0.25">
      <c r="A250">
        <v>244</v>
      </c>
      <c r="B250" t="s">
        <v>455</v>
      </c>
      <c r="C250" t="s">
        <v>186</v>
      </c>
      <c r="D250">
        <v>209</v>
      </c>
      <c r="E250" t="s">
        <v>121</v>
      </c>
      <c r="F250">
        <v>235</v>
      </c>
      <c r="G250" t="s">
        <v>121</v>
      </c>
      <c r="H250">
        <v>243</v>
      </c>
      <c r="I250" t="s">
        <v>121</v>
      </c>
      <c r="J250" t="s">
        <v>272</v>
      </c>
      <c r="K250" t="s">
        <v>186</v>
      </c>
    </row>
    <row r="251" spans="1:11" x14ac:dyDescent="0.25">
      <c r="A251">
        <v>245</v>
      </c>
      <c r="B251" t="s">
        <v>6</v>
      </c>
      <c r="C251" t="s">
        <v>456</v>
      </c>
      <c r="J251" t="s">
        <v>113</v>
      </c>
      <c r="K251" t="s">
        <v>456</v>
      </c>
    </row>
    <row r="252" spans="1:11" x14ac:dyDescent="0.25">
      <c r="A252">
        <v>246</v>
      </c>
      <c r="B252" t="s">
        <v>457</v>
      </c>
      <c r="C252" t="s">
        <v>458</v>
      </c>
      <c r="J252" t="s">
        <v>113</v>
      </c>
      <c r="K252" t="s">
        <v>458</v>
      </c>
    </row>
    <row r="253" spans="1:11" x14ac:dyDescent="0.25">
      <c r="A253">
        <v>247</v>
      </c>
      <c r="B253" t="s">
        <v>459</v>
      </c>
      <c r="C253" t="s">
        <v>460</v>
      </c>
      <c r="J253" t="s">
        <v>113</v>
      </c>
      <c r="K253" t="s">
        <v>460</v>
      </c>
    </row>
    <row r="254" spans="1:11" x14ac:dyDescent="0.25">
      <c r="A254">
        <v>248</v>
      </c>
      <c r="B254" t="s">
        <v>461</v>
      </c>
      <c r="C254" t="s">
        <v>462</v>
      </c>
      <c r="J254">
        <f>COUNTA(K254:U254)</f>
        <v>1</v>
      </c>
      <c r="K254" t="s">
        <v>462</v>
      </c>
    </row>
    <row r="255" spans="1:11" x14ac:dyDescent="0.25">
      <c r="A255">
        <v>249</v>
      </c>
      <c r="B255" t="s">
        <v>463</v>
      </c>
      <c r="C255" t="s">
        <v>464</v>
      </c>
      <c r="J255">
        <f>COUNTA(K255:U255)</f>
        <v>1</v>
      </c>
      <c r="K255" t="s">
        <v>464</v>
      </c>
    </row>
    <row r="256" spans="1:11" x14ac:dyDescent="0.25">
      <c r="A256">
        <v>250</v>
      </c>
      <c r="B256" t="s">
        <v>465</v>
      </c>
      <c r="C256" t="s">
        <v>466</v>
      </c>
      <c r="J256" t="s">
        <v>113</v>
      </c>
      <c r="K256" t="s">
        <v>466</v>
      </c>
    </row>
    <row r="257" spans="1:11" x14ac:dyDescent="0.25">
      <c r="A257">
        <v>251</v>
      </c>
      <c r="B257" t="s">
        <v>467</v>
      </c>
      <c r="C257" t="s">
        <v>468</v>
      </c>
      <c r="J257" t="s">
        <v>113</v>
      </c>
      <c r="K257" t="s">
        <v>468</v>
      </c>
    </row>
    <row r="258" spans="1:11" x14ac:dyDescent="0.25">
      <c r="A258">
        <v>252</v>
      </c>
      <c r="B258" t="s">
        <v>469</v>
      </c>
      <c r="C258" t="s">
        <v>468</v>
      </c>
      <c r="J258" t="s">
        <v>113</v>
      </c>
      <c r="K258" t="s">
        <v>468</v>
      </c>
    </row>
    <row r="259" spans="1:11" x14ac:dyDescent="0.25">
      <c r="A259">
        <v>253</v>
      </c>
      <c r="B259" t="s">
        <v>470</v>
      </c>
      <c r="C259" t="s">
        <v>122</v>
      </c>
      <c r="J259" t="s">
        <v>113</v>
      </c>
      <c r="K259" t="s">
        <v>122</v>
      </c>
    </row>
    <row r="260" spans="1:11" x14ac:dyDescent="0.25">
      <c r="A260">
        <v>254</v>
      </c>
      <c r="B260" t="s">
        <v>471</v>
      </c>
      <c r="C260" t="s">
        <v>122</v>
      </c>
      <c r="J260" t="s">
        <v>113</v>
      </c>
      <c r="K260" t="s">
        <v>122</v>
      </c>
    </row>
    <row r="261" spans="1:11" x14ac:dyDescent="0.25">
      <c r="A261">
        <v>255</v>
      </c>
      <c r="B261" t="s">
        <v>472</v>
      </c>
      <c r="C261" t="s">
        <v>121</v>
      </c>
      <c r="J261" t="s">
        <v>113</v>
      </c>
      <c r="K261" t="s">
        <v>121</v>
      </c>
    </row>
    <row r="262" spans="1:11" x14ac:dyDescent="0.25">
      <c r="A262">
        <v>256</v>
      </c>
      <c r="B262" t="s">
        <v>473</v>
      </c>
      <c r="C262" t="s">
        <v>122</v>
      </c>
      <c r="J262" t="s">
        <v>113</v>
      </c>
      <c r="K262" t="s">
        <v>122</v>
      </c>
    </row>
    <row r="263" spans="1:11" x14ac:dyDescent="0.25">
      <c r="J263">
        <f>SUM(J7:J262)</f>
        <v>457</v>
      </c>
    </row>
  </sheetData>
  <autoFilter ref="B1:B263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Barış Semaay</cp:lastModifiedBy>
  <dcterms:created xsi:type="dcterms:W3CDTF">2026-02-26T11:38:58Z</dcterms:created>
  <dcterms:modified xsi:type="dcterms:W3CDTF">2026-02-26T17:37:30Z</dcterms:modified>
</cp:coreProperties>
</file>